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pivotTables/pivotTable5.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250" yWindow="300" windowWidth="24915" windowHeight="9405" tabRatio="718" activeTab="4"/>
  </bookViews>
  <sheets>
    <sheet name="Data Entry" sheetId="12" r:id="rId1"/>
    <sheet name="Species 1 - Size at maturity" sheetId="9" r:id="rId2"/>
    <sheet name="Species 1-Data Entry" sheetId="3" r:id="rId3"/>
    <sheet name="Species 1-Spawning Season" sheetId="2" r:id="rId4"/>
    <sheet name="Species 1-Anahulu" sheetId="1" r:id="rId5"/>
    <sheet name="Convert fish weight to grams" sheetId="5" r:id="rId6"/>
  </sheets>
  <definedNames>
    <definedName name="_xlnm._FilterDatabase" localSheetId="0" hidden="1">'Data Entry'!$A$5:$I$185</definedName>
  </definedNames>
  <calcPr calcId="145621"/>
  <pivotCaches>
    <pivotCache cacheId="0" r:id="rId7"/>
    <pivotCache cacheId="1" r:id="rId8"/>
    <pivotCache cacheId="2" r:id="rId9"/>
    <pivotCache cacheId="13" r:id="rId10"/>
    <pivotCache cacheId="19" r:id="rId11"/>
  </pivotCaches>
</workbook>
</file>

<file path=xl/calcChain.xml><?xml version="1.0" encoding="utf-8"?>
<calcChain xmlns="http://schemas.openxmlformats.org/spreadsheetml/2006/main">
  <c r="M24" i="9" l="1"/>
  <c r="M23" i="9"/>
  <c r="M22" i="9"/>
  <c r="M21" i="9"/>
  <c r="M20" i="9"/>
  <c r="M19" i="9"/>
  <c r="M18" i="9"/>
  <c r="M17" i="9"/>
  <c r="M16" i="9"/>
  <c r="M15" i="9"/>
  <c r="M14" i="9"/>
  <c r="N14" i="9"/>
  <c r="N15" i="9"/>
  <c r="N16" i="9"/>
  <c r="N17" i="9"/>
  <c r="N18" i="9"/>
  <c r="N19" i="9"/>
  <c r="N20" i="9"/>
  <c r="N21" i="9"/>
  <c r="N22" i="9"/>
  <c r="N23" i="9"/>
  <c r="N24" i="9"/>
  <c r="N13" i="9"/>
  <c r="M13" i="9"/>
  <c r="E34" i="9" l="1"/>
  <c r="F34" i="9" s="1"/>
  <c r="E13" i="9"/>
  <c r="F13" i="9" s="1"/>
  <c r="E14" i="9"/>
  <c r="F14" i="9" s="1"/>
  <c r="E15" i="9"/>
  <c r="F15" i="9" s="1"/>
  <c r="E16" i="9"/>
  <c r="F16" i="9" s="1"/>
  <c r="E17" i="9"/>
  <c r="F17" i="9" s="1"/>
  <c r="E18" i="9"/>
  <c r="F18" i="9" s="1"/>
  <c r="E19" i="9"/>
  <c r="F19" i="9" s="1"/>
  <c r="E20" i="9"/>
  <c r="F20" i="9" s="1"/>
  <c r="E21" i="9"/>
  <c r="F21" i="9" s="1"/>
  <c r="E22" i="9"/>
  <c r="F22" i="9" s="1"/>
  <c r="E23" i="9"/>
  <c r="F23" i="9" s="1"/>
  <c r="E24" i="9"/>
  <c r="F24" i="9" s="1"/>
  <c r="E25" i="9"/>
  <c r="F25" i="9" s="1"/>
  <c r="E26" i="9"/>
  <c r="F26" i="9" s="1"/>
  <c r="E27" i="9"/>
  <c r="F27" i="9" s="1"/>
  <c r="E28" i="9"/>
  <c r="F28" i="9" s="1"/>
  <c r="E29" i="9"/>
  <c r="F29" i="9" s="1"/>
  <c r="E30" i="9"/>
  <c r="F30" i="9" s="1"/>
  <c r="E31" i="9"/>
  <c r="F31" i="9" s="1"/>
  <c r="E32" i="9"/>
  <c r="F32" i="9" s="1"/>
  <c r="E33" i="9"/>
  <c r="F33" i="9" s="1"/>
  <c r="E35" i="9"/>
  <c r="F35" i="9" s="1"/>
  <c r="E36" i="9"/>
  <c r="F36" i="9" s="1"/>
  <c r="E37" i="9"/>
  <c r="F37" i="9" s="1"/>
  <c r="E38" i="9"/>
  <c r="F38" i="9" s="1"/>
  <c r="E39" i="9"/>
  <c r="F39" i="9" s="1"/>
  <c r="E40" i="9"/>
  <c r="F40" i="9" s="1"/>
  <c r="E41" i="9"/>
  <c r="F41" i="9" s="1"/>
  <c r="E42" i="9"/>
  <c r="F42" i="9" s="1"/>
  <c r="E43" i="9"/>
  <c r="F43" i="9" s="1"/>
  <c r="E44" i="9"/>
  <c r="F44" i="9" s="1"/>
  <c r="E45" i="9"/>
  <c r="F45" i="9" s="1"/>
  <c r="E46" i="9"/>
  <c r="F46" i="9" s="1"/>
  <c r="E47" i="9"/>
  <c r="F47" i="9" s="1"/>
  <c r="E48" i="9"/>
  <c r="F48" i="9" s="1"/>
  <c r="E49" i="9"/>
  <c r="F49" i="9" s="1"/>
  <c r="E50" i="9"/>
  <c r="F50" i="9" s="1"/>
  <c r="E51" i="9"/>
  <c r="F51" i="9" s="1"/>
  <c r="E52" i="9"/>
  <c r="F52" i="9" s="1"/>
  <c r="E53" i="9"/>
  <c r="F53" i="9" s="1"/>
  <c r="E54" i="9"/>
  <c r="F54" i="9" s="1"/>
  <c r="E55" i="9"/>
  <c r="F55" i="9" s="1"/>
  <c r="E56" i="9"/>
  <c r="F56" i="9" s="1"/>
  <c r="E57" i="9"/>
  <c r="F57" i="9" s="1"/>
  <c r="E58" i="9"/>
  <c r="F58" i="9" s="1"/>
  <c r="E59" i="9"/>
  <c r="F59" i="9" s="1"/>
  <c r="E60" i="9"/>
  <c r="F60" i="9" s="1"/>
  <c r="E61" i="9"/>
  <c r="F61" i="9" s="1"/>
  <c r="E62" i="9"/>
  <c r="F62" i="9" s="1"/>
  <c r="E63" i="9"/>
  <c r="F63" i="9" s="1"/>
  <c r="E64" i="9"/>
  <c r="F64" i="9" s="1"/>
  <c r="E65" i="9"/>
  <c r="F65" i="9" s="1"/>
  <c r="E66" i="9"/>
  <c r="F66" i="9" s="1"/>
  <c r="E67" i="9"/>
  <c r="F67" i="9" s="1"/>
  <c r="E68" i="9"/>
  <c r="F68" i="9" s="1"/>
  <c r="E69" i="9"/>
  <c r="F69" i="9" s="1"/>
  <c r="E70" i="9"/>
  <c r="F70" i="9" s="1"/>
  <c r="E71" i="9"/>
  <c r="F71" i="9" s="1"/>
  <c r="E72" i="9"/>
  <c r="F72" i="9" s="1"/>
  <c r="E73" i="9"/>
  <c r="F73" i="9" s="1"/>
  <c r="E74" i="9"/>
  <c r="F74" i="9" s="1"/>
  <c r="E75" i="9"/>
  <c r="F75" i="9" s="1"/>
  <c r="E76" i="9"/>
  <c r="F76" i="9" s="1"/>
  <c r="E77" i="9"/>
  <c r="F77" i="9" s="1"/>
  <c r="E78" i="9"/>
  <c r="F78" i="9" s="1"/>
  <c r="E79" i="9"/>
  <c r="F79" i="9" s="1"/>
  <c r="E80" i="9"/>
  <c r="F80" i="9" s="1"/>
  <c r="E81" i="9"/>
  <c r="F81" i="9" s="1"/>
  <c r="E82" i="9"/>
  <c r="F82" i="9" s="1"/>
  <c r="E83" i="9"/>
  <c r="F83" i="9" s="1"/>
  <c r="E84" i="9"/>
  <c r="F84" i="9" s="1"/>
  <c r="E85" i="9"/>
  <c r="F85" i="9" s="1"/>
  <c r="E86" i="9"/>
  <c r="F86" i="9" s="1"/>
  <c r="E87" i="9"/>
  <c r="F87" i="9" s="1"/>
  <c r="E88" i="9"/>
  <c r="F88" i="9" s="1"/>
  <c r="E89" i="9"/>
  <c r="F89" i="9" s="1"/>
  <c r="E90" i="9"/>
  <c r="F90" i="9" s="1"/>
  <c r="E91" i="9"/>
  <c r="F91" i="9" s="1"/>
  <c r="E92" i="9"/>
  <c r="F92" i="9" s="1"/>
  <c r="E93" i="9"/>
  <c r="F93" i="9" s="1"/>
  <c r="E94" i="9"/>
  <c r="F94" i="9" s="1"/>
  <c r="E95" i="9"/>
  <c r="F95" i="9" s="1"/>
  <c r="E96" i="9"/>
  <c r="F96" i="9" s="1"/>
  <c r="E97" i="9"/>
  <c r="F97" i="9" s="1"/>
  <c r="E98" i="9"/>
  <c r="F98" i="9" s="1"/>
  <c r="E99" i="9"/>
  <c r="F99" i="9" s="1"/>
  <c r="E100" i="9"/>
  <c r="F100" i="9" s="1"/>
  <c r="E101" i="9"/>
  <c r="F101" i="9"/>
  <c r="E102" i="9"/>
  <c r="F102" i="9" s="1"/>
  <c r="E103" i="9"/>
  <c r="F103" i="9" s="1"/>
  <c r="E104" i="9"/>
  <c r="F104" i="9"/>
  <c r="E105" i="9"/>
  <c r="F105" i="9" s="1"/>
  <c r="E106" i="9"/>
  <c r="F106" i="9" s="1"/>
  <c r="E107" i="9"/>
  <c r="F107" i="9" s="1"/>
  <c r="E108" i="9"/>
  <c r="F108" i="9" s="1"/>
  <c r="E109" i="9"/>
  <c r="F109" i="9" s="1"/>
  <c r="E110" i="9"/>
  <c r="F110" i="9" s="1"/>
  <c r="E111" i="9"/>
  <c r="F111" i="9" s="1"/>
  <c r="E112" i="9"/>
  <c r="F112" i="9" s="1"/>
  <c r="G48" i="3"/>
  <c r="H48" i="3"/>
  <c r="G49" i="3"/>
  <c r="H49" i="3"/>
  <c r="G50" i="3"/>
  <c r="H50" i="3"/>
  <c r="G51" i="3"/>
  <c r="H51" i="3"/>
  <c r="G52" i="3"/>
  <c r="H52" i="3"/>
  <c r="G53" i="3"/>
  <c r="H53" i="3"/>
  <c r="G54" i="3"/>
  <c r="H54" i="3"/>
  <c r="G55" i="3"/>
  <c r="H55" i="3"/>
  <c r="G56" i="3"/>
  <c r="H56" i="3"/>
  <c r="G57" i="3"/>
  <c r="H57" i="3"/>
  <c r="G58" i="3"/>
  <c r="H58" i="3"/>
  <c r="G59" i="3"/>
  <c r="H59" i="3"/>
  <c r="G60" i="3"/>
  <c r="H60" i="3"/>
  <c r="G61" i="3"/>
  <c r="H61" i="3"/>
  <c r="G62" i="3"/>
  <c r="H62" i="3"/>
  <c r="G63" i="3"/>
  <c r="H63" i="3"/>
  <c r="G64" i="3"/>
  <c r="H64" i="3"/>
  <c r="G65" i="3"/>
  <c r="H65" i="3"/>
  <c r="G66" i="3"/>
  <c r="H66" i="3"/>
  <c r="G67" i="3"/>
  <c r="H67" i="3"/>
  <c r="G68" i="3"/>
  <c r="H68" i="3"/>
  <c r="G69" i="3"/>
  <c r="H69" i="3"/>
  <c r="G70" i="3"/>
  <c r="H70" i="3"/>
  <c r="G71" i="3"/>
  <c r="H71" i="3"/>
  <c r="G72" i="3"/>
  <c r="H72" i="3"/>
  <c r="G73" i="3"/>
  <c r="H73" i="3"/>
  <c r="G74" i="3"/>
  <c r="H74" i="3"/>
  <c r="G75" i="3"/>
  <c r="H75" i="3"/>
  <c r="G76" i="3"/>
  <c r="H76" i="3"/>
  <c r="G77" i="3"/>
  <c r="H77" i="3"/>
  <c r="G78" i="3"/>
  <c r="H78" i="3"/>
  <c r="G79" i="3"/>
  <c r="H79" i="3"/>
  <c r="G80" i="3"/>
  <c r="H80" i="3"/>
  <c r="G81" i="3"/>
  <c r="H81" i="3"/>
  <c r="G82" i="3"/>
  <c r="H82" i="3"/>
  <c r="G83" i="3"/>
  <c r="H83" i="3"/>
  <c r="G84" i="3"/>
  <c r="H84" i="3"/>
  <c r="G85" i="3"/>
  <c r="H85" i="3"/>
  <c r="G86" i="3"/>
  <c r="H86" i="3"/>
  <c r="G87" i="3"/>
  <c r="H87" i="3"/>
  <c r="G88" i="3"/>
  <c r="H88" i="3"/>
  <c r="G89" i="3"/>
  <c r="H89" i="3"/>
  <c r="G90" i="3"/>
  <c r="H90" i="3"/>
  <c r="G91" i="3"/>
  <c r="H91" i="3"/>
  <c r="G92" i="3"/>
  <c r="H92" i="3"/>
  <c r="G93" i="3"/>
  <c r="H93" i="3"/>
  <c r="G94" i="3"/>
  <c r="H94" i="3"/>
  <c r="G95" i="3"/>
  <c r="H95" i="3"/>
  <c r="G96" i="3"/>
  <c r="H96" i="3"/>
  <c r="G97" i="3"/>
  <c r="H97" i="3"/>
  <c r="G98" i="3"/>
  <c r="H98" i="3"/>
  <c r="G99" i="3"/>
  <c r="H99" i="3"/>
  <c r="G100" i="3"/>
  <c r="H100" i="3"/>
  <c r="G101" i="3"/>
  <c r="H101" i="3"/>
  <c r="G102" i="3"/>
  <c r="H102" i="3"/>
  <c r="G103" i="3"/>
  <c r="H103" i="3"/>
  <c r="G104" i="3"/>
  <c r="H104" i="3"/>
  <c r="G105" i="3"/>
  <c r="H105" i="3"/>
  <c r="G106" i="3"/>
  <c r="H106" i="3"/>
  <c r="G107" i="3"/>
  <c r="H107" i="3"/>
  <c r="G108" i="3"/>
  <c r="H108" i="3"/>
  <c r="G109" i="3"/>
  <c r="H109" i="3"/>
  <c r="G110" i="3"/>
  <c r="H110" i="3"/>
  <c r="G111" i="3"/>
  <c r="H111" i="3"/>
  <c r="G112" i="3"/>
  <c r="H112" i="3"/>
  <c r="G113" i="3"/>
  <c r="H113" i="3"/>
  <c r="G114" i="3"/>
  <c r="H114" i="3"/>
  <c r="G115" i="3"/>
  <c r="H115" i="3"/>
  <c r="G116" i="3"/>
  <c r="H116" i="3"/>
  <c r="G117" i="3"/>
  <c r="H117" i="3"/>
  <c r="G118" i="3"/>
  <c r="H118" i="3"/>
  <c r="G119" i="3"/>
  <c r="H119" i="3"/>
  <c r="G120" i="3"/>
  <c r="H120" i="3"/>
  <c r="G121" i="3"/>
  <c r="H121" i="3"/>
  <c r="G122" i="3"/>
  <c r="H122" i="3"/>
  <c r="G123" i="3"/>
  <c r="H123" i="3"/>
  <c r="G124" i="3"/>
  <c r="H124" i="3"/>
  <c r="G125" i="3"/>
  <c r="H125" i="3"/>
  <c r="G126" i="3"/>
  <c r="H126" i="3"/>
  <c r="G127" i="3"/>
  <c r="H127" i="3"/>
  <c r="G128" i="3"/>
  <c r="H128" i="3"/>
  <c r="G129" i="3"/>
  <c r="H129" i="3"/>
  <c r="G130" i="3"/>
  <c r="H130" i="3"/>
  <c r="G131" i="3"/>
  <c r="H131" i="3"/>
  <c r="G132" i="3"/>
  <c r="H132" i="3"/>
  <c r="G133" i="3"/>
  <c r="H133" i="3"/>
  <c r="G134" i="3"/>
  <c r="H134" i="3"/>
  <c r="G135" i="3"/>
  <c r="H135" i="3"/>
  <c r="G136" i="3"/>
  <c r="H136" i="3"/>
  <c r="G137" i="3"/>
  <c r="H137" i="3"/>
  <c r="G138" i="3"/>
  <c r="H138" i="3"/>
  <c r="G139" i="3"/>
  <c r="H139" i="3"/>
  <c r="G140" i="3"/>
  <c r="H140" i="3"/>
  <c r="G141" i="3"/>
  <c r="H141" i="3"/>
  <c r="G142" i="3"/>
  <c r="H142" i="3"/>
  <c r="G143" i="3"/>
  <c r="H143" i="3"/>
  <c r="G144" i="3"/>
  <c r="H144" i="3"/>
  <c r="G145" i="3"/>
  <c r="H145" i="3"/>
  <c r="G146" i="3"/>
  <c r="H146" i="3"/>
  <c r="G147" i="3"/>
  <c r="H147" i="3"/>
  <c r="G148" i="3"/>
  <c r="H148" i="3"/>
  <c r="G149" i="3"/>
  <c r="H149" i="3"/>
  <c r="G150" i="3"/>
  <c r="H150" i="3"/>
  <c r="G151" i="3"/>
  <c r="H151" i="3"/>
  <c r="G152" i="3"/>
  <c r="H152" i="3"/>
  <c r="G153" i="3"/>
  <c r="H153" i="3"/>
  <c r="G154" i="3"/>
  <c r="H154" i="3"/>
  <c r="G155" i="3"/>
  <c r="H155" i="3"/>
  <c r="G156" i="3"/>
  <c r="H156" i="3"/>
  <c r="G157" i="3"/>
  <c r="H157" i="3"/>
  <c r="G158" i="3"/>
  <c r="H158" i="3"/>
  <c r="G159" i="3"/>
  <c r="H159" i="3"/>
  <c r="G160" i="3"/>
  <c r="H160" i="3"/>
  <c r="G161" i="3"/>
  <c r="H161" i="3"/>
  <c r="G162" i="3"/>
  <c r="H162" i="3"/>
  <c r="G163" i="3"/>
  <c r="H163" i="3"/>
  <c r="G164" i="3"/>
  <c r="H164" i="3"/>
  <c r="G165" i="3"/>
  <c r="H165" i="3"/>
  <c r="G166" i="3"/>
  <c r="H166" i="3"/>
  <c r="G167" i="3"/>
  <c r="H167" i="3"/>
  <c r="G168" i="3"/>
  <c r="H168" i="3"/>
  <c r="G169" i="3"/>
  <c r="H169" i="3"/>
  <c r="G170" i="3"/>
  <c r="H170" i="3"/>
  <c r="G171" i="3"/>
  <c r="H171" i="3"/>
  <c r="G172" i="3"/>
  <c r="H172" i="3"/>
  <c r="G173" i="3"/>
  <c r="H173" i="3"/>
  <c r="G174" i="3"/>
  <c r="H174" i="3"/>
  <c r="G175" i="3"/>
  <c r="H175" i="3"/>
  <c r="G176" i="3"/>
  <c r="H176" i="3"/>
  <c r="G177" i="3"/>
  <c r="H177" i="3"/>
  <c r="G178" i="3"/>
  <c r="H178" i="3"/>
  <c r="G179" i="3"/>
  <c r="H179" i="3"/>
  <c r="G180" i="3"/>
  <c r="H180" i="3"/>
  <c r="G181" i="3"/>
  <c r="H181" i="3"/>
  <c r="G182" i="3"/>
  <c r="H182" i="3"/>
  <c r="G183" i="3"/>
  <c r="H183" i="3"/>
  <c r="G184" i="3"/>
  <c r="H184" i="3"/>
  <c r="G185" i="3"/>
  <c r="H185" i="3"/>
  <c r="G186" i="3"/>
  <c r="H186" i="3"/>
  <c r="G187" i="3"/>
  <c r="H187" i="3"/>
  <c r="G188" i="3"/>
  <c r="H188" i="3"/>
  <c r="G189" i="3"/>
  <c r="H189" i="3"/>
  <c r="G190" i="3"/>
  <c r="H190" i="3"/>
  <c r="G191" i="3"/>
  <c r="H191" i="3"/>
  <c r="G192" i="3"/>
  <c r="H192" i="3"/>
  <c r="G193" i="3"/>
  <c r="H193" i="3"/>
  <c r="G194" i="3"/>
  <c r="H194" i="3"/>
  <c r="G16" i="3"/>
  <c r="H16" i="3"/>
  <c r="G17" i="3"/>
  <c r="H17" i="3"/>
  <c r="G18" i="3"/>
  <c r="H18" i="3"/>
  <c r="G19" i="3"/>
  <c r="H19" i="3"/>
  <c r="G20" i="3"/>
  <c r="H20" i="3"/>
  <c r="G21" i="3"/>
  <c r="H21" i="3"/>
  <c r="G22" i="3"/>
  <c r="H22" i="3"/>
  <c r="G23" i="3"/>
  <c r="H23" i="3"/>
  <c r="G24" i="3"/>
  <c r="H24" i="3"/>
  <c r="G25" i="3"/>
  <c r="H25" i="3"/>
  <c r="G26" i="3"/>
  <c r="H26" i="3"/>
  <c r="G27" i="3"/>
  <c r="H27" i="3"/>
  <c r="G28" i="3"/>
  <c r="H28" i="3"/>
  <c r="G29" i="3"/>
  <c r="H29" i="3"/>
  <c r="G30" i="3"/>
  <c r="H30" i="3"/>
  <c r="G31" i="3"/>
  <c r="H31" i="3"/>
  <c r="G32" i="3"/>
  <c r="H32" i="3"/>
  <c r="G33" i="3"/>
  <c r="H33" i="3"/>
  <c r="G34" i="3"/>
  <c r="H34" i="3"/>
  <c r="G35" i="3"/>
  <c r="H35" i="3"/>
  <c r="G36" i="3"/>
  <c r="H36" i="3"/>
  <c r="G37" i="3"/>
  <c r="H37" i="3"/>
  <c r="G38" i="3"/>
  <c r="H38" i="3"/>
  <c r="G40" i="3"/>
  <c r="H40" i="3"/>
  <c r="G41" i="3"/>
  <c r="H41" i="3"/>
  <c r="G42" i="3"/>
  <c r="H42" i="3"/>
  <c r="G43" i="3"/>
  <c r="H43" i="3"/>
  <c r="G44" i="3"/>
  <c r="H44" i="3"/>
  <c r="G45" i="3"/>
  <c r="H45" i="3"/>
  <c r="G46" i="3"/>
  <c r="H46" i="3"/>
  <c r="G47" i="3"/>
  <c r="H47" i="3"/>
  <c r="G15" i="3"/>
  <c r="H15" i="3"/>
  <c r="C7" i="5"/>
  <c r="D7" i="5"/>
  <c r="E7" i="5"/>
  <c r="N7" i="5"/>
  <c r="C8" i="5"/>
  <c r="D8" i="5"/>
  <c r="E8" i="5"/>
  <c r="N8" i="5"/>
  <c r="C9" i="5"/>
  <c r="D9" i="5"/>
  <c r="E9" i="5"/>
  <c r="N9" i="5"/>
  <c r="C10" i="5"/>
  <c r="D10" i="5"/>
  <c r="E10" i="5"/>
  <c r="N10" i="5"/>
  <c r="C11" i="5"/>
  <c r="D11" i="5"/>
  <c r="E11" i="5"/>
  <c r="N11" i="5"/>
  <c r="C12" i="5"/>
  <c r="D12" i="5"/>
  <c r="E12" i="5"/>
  <c r="N12" i="5"/>
  <c r="C13" i="5"/>
  <c r="D13" i="5"/>
  <c r="E13" i="5"/>
  <c r="N13" i="5"/>
  <c r="C14" i="5"/>
  <c r="D14" i="5"/>
  <c r="E14" i="5"/>
  <c r="N14" i="5"/>
  <c r="C15" i="5"/>
  <c r="D15" i="5"/>
  <c r="E15" i="5"/>
  <c r="N15" i="5"/>
  <c r="C16" i="5"/>
  <c r="D16" i="5"/>
  <c r="E16" i="5"/>
  <c r="N16" i="5"/>
  <c r="C17" i="5"/>
  <c r="D17" i="5"/>
  <c r="E17" i="5"/>
  <c r="N17" i="5"/>
  <c r="C18" i="5"/>
  <c r="D18" i="5"/>
  <c r="E18" i="5"/>
  <c r="N18" i="5"/>
  <c r="C19" i="5"/>
  <c r="D19" i="5"/>
  <c r="E19" i="5"/>
  <c r="N19" i="5"/>
  <c r="C20" i="5"/>
  <c r="D20" i="5"/>
  <c r="E20" i="5"/>
  <c r="N20" i="5"/>
  <c r="C21" i="5"/>
  <c r="D21" i="5"/>
  <c r="E21" i="5"/>
  <c r="N21" i="5"/>
  <c r="C22" i="5"/>
  <c r="D22" i="5"/>
  <c r="E22" i="5"/>
  <c r="N22" i="5"/>
  <c r="C23" i="5"/>
  <c r="D23" i="5"/>
  <c r="E23" i="5"/>
  <c r="N23" i="5"/>
  <c r="C24" i="5"/>
  <c r="D24" i="5"/>
  <c r="E24" i="5"/>
  <c r="N24" i="5"/>
  <c r="C25" i="5"/>
  <c r="D25" i="5"/>
  <c r="E25" i="5"/>
  <c r="N25" i="5"/>
  <c r="C26" i="5"/>
  <c r="D26" i="5"/>
  <c r="E26" i="5"/>
  <c r="N26" i="5"/>
  <c r="C27" i="5"/>
  <c r="D27" i="5"/>
  <c r="E27" i="5"/>
  <c r="N27" i="5"/>
  <c r="C28" i="5"/>
  <c r="D28" i="5"/>
  <c r="E28" i="5"/>
  <c r="N28" i="5"/>
  <c r="C29" i="5"/>
  <c r="D29" i="5"/>
  <c r="E29" i="5"/>
  <c r="N29" i="5"/>
  <c r="C30" i="5"/>
  <c r="D30" i="5"/>
  <c r="E30" i="5"/>
  <c r="N30" i="5"/>
  <c r="C31" i="5"/>
  <c r="D31" i="5"/>
  <c r="E31" i="5"/>
  <c r="N31" i="5"/>
  <c r="C32" i="5"/>
  <c r="D32" i="5"/>
  <c r="E32" i="5"/>
  <c r="N32" i="5"/>
  <c r="C33" i="5"/>
  <c r="D33" i="5"/>
  <c r="E33" i="5"/>
  <c r="N33" i="5"/>
  <c r="C34" i="5"/>
  <c r="D34" i="5"/>
  <c r="E34" i="5"/>
  <c r="N34" i="5"/>
  <c r="C35" i="5"/>
  <c r="D35" i="5"/>
  <c r="E35" i="5"/>
  <c r="N35" i="5"/>
  <c r="C36" i="5"/>
  <c r="D36" i="5"/>
  <c r="E36" i="5"/>
  <c r="N36" i="5"/>
  <c r="C37" i="5"/>
  <c r="D37" i="5"/>
  <c r="E37" i="5"/>
  <c r="N37" i="5"/>
  <c r="C38" i="5"/>
  <c r="D38" i="5"/>
  <c r="E38" i="5"/>
  <c r="N38" i="5"/>
  <c r="C39" i="5"/>
  <c r="D39" i="5"/>
  <c r="E39" i="5"/>
  <c r="N39" i="5"/>
  <c r="C40" i="5"/>
  <c r="D40" i="5"/>
  <c r="E40" i="5"/>
  <c r="N40" i="5"/>
  <c r="C41" i="5"/>
  <c r="D41" i="5"/>
  <c r="E41" i="5"/>
  <c r="N41" i="5"/>
  <c r="C42" i="5"/>
  <c r="D42" i="5"/>
  <c r="E42" i="5"/>
  <c r="N42" i="5"/>
  <c r="C43" i="5"/>
  <c r="D43" i="5"/>
  <c r="E43" i="5"/>
  <c r="N43" i="5"/>
  <c r="C44" i="5"/>
  <c r="D44" i="5"/>
  <c r="E44" i="5"/>
  <c r="N44" i="5"/>
  <c r="C45" i="5"/>
  <c r="D45" i="5"/>
  <c r="E45" i="5"/>
  <c r="N45" i="5"/>
  <c r="C46" i="5"/>
  <c r="D46" i="5"/>
  <c r="E46" i="5"/>
  <c r="N46" i="5"/>
  <c r="C47" i="5"/>
  <c r="D47" i="5"/>
  <c r="E47" i="5"/>
  <c r="N47" i="5"/>
  <c r="C48" i="5"/>
  <c r="D48" i="5"/>
  <c r="E48" i="5"/>
  <c r="N48" i="5"/>
  <c r="C49" i="5"/>
  <c r="D49" i="5"/>
  <c r="E49" i="5"/>
  <c r="N49" i="5"/>
  <c r="C50" i="5"/>
  <c r="D50" i="5"/>
  <c r="E50" i="5"/>
  <c r="N50" i="5"/>
  <c r="C51" i="5"/>
  <c r="D51" i="5"/>
  <c r="E51" i="5"/>
  <c r="N51" i="5"/>
  <c r="C52" i="5"/>
  <c r="D52" i="5"/>
  <c r="E52" i="5"/>
  <c r="N52" i="5"/>
  <c r="C53" i="5"/>
  <c r="D53" i="5"/>
  <c r="E53" i="5"/>
  <c r="N53" i="5"/>
  <c r="C54" i="5"/>
  <c r="D54" i="5"/>
  <c r="E54" i="5"/>
  <c r="N54" i="5"/>
  <c r="C55" i="5"/>
  <c r="D55" i="5"/>
  <c r="E55" i="5"/>
  <c r="N55" i="5"/>
  <c r="C56" i="5"/>
  <c r="D56" i="5"/>
  <c r="E56" i="5"/>
  <c r="N56" i="5"/>
  <c r="C57" i="5"/>
  <c r="D57" i="5"/>
  <c r="E57" i="5"/>
  <c r="N57" i="5"/>
  <c r="C58" i="5"/>
  <c r="D58" i="5"/>
  <c r="E58" i="5"/>
  <c r="N58" i="5"/>
  <c r="C59" i="5"/>
  <c r="D59" i="5"/>
  <c r="E59" i="5"/>
  <c r="N59" i="5"/>
  <c r="C60" i="5"/>
  <c r="D60" i="5"/>
  <c r="E60" i="5"/>
  <c r="N60" i="5"/>
  <c r="C61" i="5"/>
  <c r="D61" i="5"/>
  <c r="E61" i="5"/>
  <c r="N61" i="5"/>
  <c r="C62" i="5"/>
  <c r="D62" i="5"/>
  <c r="E62" i="5"/>
  <c r="N62" i="5"/>
  <c r="C63" i="5"/>
  <c r="D63" i="5"/>
  <c r="E63" i="5"/>
  <c r="N63" i="5"/>
  <c r="C64" i="5"/>
  <c r="D64" i="5"/>
  <c r="E64" i="5"/>
  <c r="N64" i="5"/>
  <c r="C65" i="5"/>
  <c r="D65" i="5"/>
  <c r="E65" i="5"/>
  <c r="N65" i="5"/>
  <c r="C66" i="5"/>
  <c r="D66" i="5"/>
  <c r="E66" i="5"/>
  <c r="N66" i="5"/>
  <c r="C67" i="5"/>
  <c r="D67" i="5"/>
  <c r="E67" i="5"/>
  <c r="N67" i="5"/>
  <c r="C68" i="5"/>
  <c r="D68" i="5"/>
  <c r="E68" i="5"/>
  <c r="N68" i="5"/>
  <c r="C69" i="5"/>
  <c r="D69" i="5"/>
  <c r="E69" i="5"/>
  <c r="N69" i="5"/>
  <c r="C70" i="5"/>
  <c r="D70" i="5"/>
  <c r="E70" i="5"/>
  <c r="N70" i="5"/>
  <c r="C71" i="5"/>
  <c r="D71" i="5"/>
  <c r="E71" i="5"/>
  <c r="N71" i="5"/>
  <c r="C72" i="5"/>
  <c r="D72" i="5"/>
  <c r="E72" i="5"/>
  <c r="N72" i="5"/>
  <c r="C73" i="5"/>
  <c r="D73" i="5"/>
  <c r="E73" i="5"/>
  <c r="N73" i="5"/>
  <c r="C74" i="5"/>
  <c r="D74" i="5"/>
  <c r="E74" i="5"/>
  <c r="N74" i="5"/>
  <c r="C75" i="5"/>
  <c r="D75" i="5"/>
  <c r="E75" i="5"/>
  <c r="N75" i="5"/>
  <c r="C76" i="5"/>
  <c r="D76" i="5"/>
  <c r="E76" i="5"/>
  <c r="N76" i="5"/>
  <c r="C77" i="5"/>
  <c r="D77" i="5"/>
  <c r="E77" i="5"/>
  <c r="N77" i="5"/>
  <c r="C78" i="5"/>
  <c r="D78" i="5"/>
  <c r="E78" i="5"/>
  <c r="N78" i="5"/>
  <c r="C79" i="5"/>
  <c r="D79" i="5"/>
  <c r="E79" i="5"/>
  <c r="N79" i="5"/>
  <c r="C80" i="5"/>
  <c r="D80" i="5"/>
  <c r="E80" i="5"/>
  <c r="N80" i="5"/>
  <c r="C81" i="5"/>
  <c r="D81" i="5"/>
  <c r="E81" i="5"/>
  <c r="N81" i="5"/>
  <c r="C82" i="5"/>
  <c r="D82" i="5"/>
  <c r="E82" i="5"/>
  <c r="N82" i="5"/>
  <c r="C83" i="5"/>
  <c r="D83" i="5"/>
  <c r="E83" i="5"/>
  <c r="N83" i="5"/>
  <c r="C84" i="5"/>
  <c r="D84" i="5"/>
  <c r="E84" i="5"/>
  <c r="N84" i="5"/>
  <c r="C85" i="5"/>
  <c r="D85" i="5"/>
  <c r="E85" i="5"/>
  <c r="N85" i="5"/>
  <c r="C86" i="5"/>
  <c r="D86" i="5"/>
  <c r="E86" i="5"/>
  <c r="N86" i="5"/>
  <c r="C87" i="5"/>
  <c r="D87" i="5"/>
  <c r="E87" i="5"/>
  <c r="N87" i="5"/>
  <c r="C88" i="5"/>
  <c r="D88" i="5"/>
  <c r="E88" i="5"/>
  <c r="N88" i="5"/>
  <c r="C89" i="5"/>
  <c r="D89" i="5"/>
  <c r="E89" i="5"/>
  <c r="N89" i="5"/>
  <c r="C90" i="5"/>
  <c r="D90" i="5"/>
  <c r="E90" i="5"/>
  <c r="N90" i="5"/>
  <c r="C91" i="5"/>
  <c r="D91" i="5"/>
  <c r="E91" i="5"/>
  <c r="N91" i="5"/>
  <c r="C92" i="5"/>
  <c r="D92" i="5"/>
  <c r="E92" i="5"/>
  <c r="N92" i="5"/>
  <c r="C93" i="5"/>
  <c r="D93" i="5"/>
  <c r="E93" i="5"/>
  <c r="N93" i="5"/>
  <c r="C94" i="5"/>
  <c r="D94" i="5"/>
  <c r="E94" i="5"/>
  <c r="N94" i="5"/>
  <c r="C95" i="5"/>
  <c r="D95" i="5"/>
  <c r="E95" i="5"/>
  <c r="N95" i="5"/>
  <c r="C96" i="5"/>
  <c r="D96" i="5"/>
  <c r="E96" i="5"/>
  <c r="N96" i="5"/>
  <c r="C97" i="5"/>
  <c r="D97" i="5"/>
  <c r="E97" i="5"/>
  <c r="N97" i="5"/>
  <c r="C98" i="5"/>
  <c r="D98" i="5"/>
  <c r="E98" i="5"/>
  <c r="N98" i="5"/>
  <c r="C99" i="5"/>
  <c r="D99" i="5"/>
  <c r="E99" i="5"/>
  <c r="N99" i="5"/>
  <c r="C100" i="5"/>
  <c r="D100" i="5"/>
  <c r="E100" i="5"/>
  <c r="N100" i="5"/>
  <c r="N6" i="5"/>
  <c r="E6" i="5"/>
  <c r="C6" i="5"/>
  <c r="D6" i="5"/>
  <c r="J10" i="9"/>
  <c r="G33" i="9" l="1"/>
  <c r="G46" i="9"/>
  <c r="G54" i="9"/>
  <c r="G62" i="9"/>
  <c r="G78" i="9"/>
  <c r="G86" i="9"/>
  <c r="G94" i="9"/>
  <c r="G98" i="9"/>
  <c r="G102" i="9"/>
  <c r="G110" i="9"/>
  <c r="G32" i="9"/>
  <c r="G37" i="9"/>
  <c r="G45" i="9"/>
  <c r="G53" i="9"/>
  <c r="G61" i="9"/>
  <c r="G69" i="9"/>
  <c r="G77" i="9"/>
  <c r="G85" i="9"/>
  <c r="G89" i="9"/>
  <c r="G97" i="9"/>
  <c r="G101" i="9"/>
  <c r="G105" i="9"/>
  <c r="G13" i="9"/>
  <c r="G14" i="9"/>
  <c r="G15" i="9"/>
  <c r="G16" i="9"/>
  <c r="G17" i="9"/>
  <c r="G18" i="9"/>
  <c r="G19" i="9"/>
  <c r="G20" i="9"/>
  <c r="G21" i="9"/>
  <c r="G22" i="9"/>
  <c r="G23" i="9"/>
  <c r="G24" i="9"/>
  <c r="G25" i="9"/>
  <c r="G29" i="9"/>
  <c r="G38" i="9"/>
  <c r="G42" i="9"/>
  <c r="G50" i="9"/>
  <c r="G58" i="9"/>
  <c r="G66" i="9"/>
  <c r="G70" i="9"/>
  <c r="G74" i="9"/>
  <c r="G82" i="9"/>
  <c r="G90" i="9"/>
  <c r="G106" i="9"/>
  <c r="G34" i="9"/>
  <c r="G28" i="9"/>
  <c r="G41" i="9"/>
  <c r="G49" i="9"/>
  <c r="G57" i="9"/>
  <c r="G65" i="9"/>
  <c r="G73" i="9"/>
  <c r="G81" i="9"/>
  <c r="G93" i="9"/>
  <c r="G109" i="9"/>
  <c r="G111" i="9"/>
  <c r="G104" i="9"/>
  <c r="G79" i="9"/>
  <c r="G72" i="9"/>
  <c r="G47" i="9"/>
  <c r="G40" i="9"/>
  <c r="G99" i="9"/>
  <c r="G92" i="9"/>
  <c r="G76" i="9"/>
  <c r="G51" i="9"/>
  <c r="G44" i="9"/>
  <c r="G27" i="9"/>
  <c r="G112" i="9"/>
  <c r="G103" i="9"/>
  <c r="G96" i="9"/>
  <c r="G87" i="9"/>
  <c r="G80" i="9"/>
  <c r="G71" i="9"/>
  <c r="G64" i="9"/>
  <c r="G55" i="9"/>
  <c r="G48" i="9"/>
  <c r="G39" i="9"/>
  <c r="G31" i="9"/>
  <c r="G95" i="9"/>
  <c r="G88" i="9"/>
  <c r="G63" i="9"/>
  <c r="G56" i="9"/>
  <c r="G30" i="9"/>
  <c r="G108" i="9"/>
  <c r="G83" i="9"/>
  <c r="G67" i="9"/>
  <c r="G60" i="9"/>
  <c r="G35" i="9"/>
  <c r="G107" i="9"/>
  <c r="G100" i="9"/>
  <c r="G91" i="9"/>
  <c r="G84" i="9"/>
  <c r="G75" i="9"/>
  <c r="G68" i="9"/>
  <c r="G59" i="9"/>
  <c r="G52" i="9"/>
  <c r="G43" i="9"/>
  <c r="G36" i="9"/>
  <c r="G26" i="9"/>
</calcChain>
</file>

<file path=xl/sharedStrings.xml><?xml version="1.0" encoding="utf-8"?>
<sst xmlns="http://schemas.openxmlformats.org/spreadsheetml/2006/main" count="1078" uniqueCount="80">
  <si>
    <t>Month</t>
  </si>
  <si>
    <t>Anahulu</t>
  </si>
  <si>
    <t>Jan</t>
  </si>
  <si>
    <t>Feb</t>
  </si>
  <si>
    <t>Mar</t>
  </si>
  <si>
    <t>Apr</t>
  </si>
  <si>
    <t>May</t>
  </si>
  <si>
    <t>Jul</t>
  </si>
  <si>
    <t>Jun</t>
  </si>
  <si>
    <t>Aug</t>
  </si>
  <si>
    <t>Sep</t>
  </si>
  <si>
    <t>Oct</t>
  </si>
  <si>
    <t>Nov</t>
  </si>
  <si>
    <t>Dec</t>
  </si>
  <si>
    <t>Emi</t>
  </si>
  <si>
    <t>Poepoe</t>
  </si>
  <si>
    <t>Ho'onui</t>
  </si>
  <si>
    <t>Somatic Weight (Fish weight with gonads removed)</t>
  </si>
  <si>
    <t>Fish</t>
  </si>
  <si>
    <t>GSI (somatic/gonad weight*100)</t>
  </si>
  <si>
    <t>Monthly GSI</t>
  </si>
  <si>
    <t>Row Labels</t>
  </si>
  <si>
    <t>(blank)</t>
  </si>
  <si>
    <t>Grand Total</t>
  </si>
  <si>
    <t>Fish Spawning Season Data: Females only</t>
  </si>
  <si>
    <t>lbs</t>
  </si>
  <si>
    <t>oz</t>
  </si>
  <si>
    <t>lbs to grams</t>
  </si>
  <si>
    <t>oz to grams</t>
  </si>
  <si>
    <t>Fish Weight in grams</t>
  </si>
  <si>
    <t>If you enter your weights in pounds (lbs) + onces (oz) put lbs and oz in their separate columns. Use the "Fish weight in grams" to fill out the spawning season data entry "Fish Weight ."</t>
  </si>
  <si>
    <t>Spawning Season For Species 1</t>
  </si>
  <si>
    <t>If you enter your weights in kilograms (kg) use this table to convert to grams.  Use the "Fish weight in grams" to fill out the spawning season data entry "Fish Weight ."</t>
  </si>
  <si>
    <t>kg</t>
  </si>
  <si>
    <t>Convert Fish Weight from lbs to grams</t>
  </si>
  <si>
    <t>Convert Fish Weight from kg to grams</t>
  </si>
  <si>
    <t>Lunar Spawning Pattern For Species 1</t>
  </si>
  <si>
    <t>Anahulu GSI</t>
  </si>
  <si>
    <t xml:space="preserve">This table automatically averages GSI by anahulu. Use this table and graph to see if there are anahulu were spawning is concentrated. </t>
  </si>
  <si>
    <t>This table automatically averages GSI by month. Refresh the table and resulting graph by right clicking on either the table or the graph and select "refresh."</t>
  </si>
  <si>
    <t>Fish Weight (grams)</t>
  </si>
  <si>
    <t>Gonad Weight (grams)</t>
  </si>
  <si>
    <t>Sum of Maturity (0=immature, 1=mature)</t>
  </si>
  <si>
    <t>Count of Fish</t>
  </si>
  <si>
    <t>Maturity (0=immature, 1=mature)</t>
  </si>
  <si>
    <t>Fork Length (cm)</t>
  </si>
  <si>
    <t>5% of Max GSI</t>
  </si>
  <si>
    <t>Max of GSI (somatic/gonad weight*100)</t>
  </si>
  <si>
    <t>Fish Size at Maturity</t>
  </si>
  <si>
    <t>9.5-10.5</t>
  </si>
  <si>
    <t>11.5-12.5</t>
  </si>
  <si>
    <t>12.5-13.5</t>
  </si>
  <si>
    <t>13.5-14.5</t>
  </si>
  <si>
    <t>14.5-15.5</t>
  </si>
  <si>
    <t>15.5-16.5</t>
  </si>
  <si>
    <t>16.5-17.5</t>
  </si>
  <si>
    <t>17.5-18.5</t>
  </si>
  <si>
    <t>18.5-19.5</t>
  </si>
  <si>
    <t>19.5-20.5</t>
  </si>
  <si>
    <t>20.5-21.5</t>
  </si>
  <si>
    <t>21.5-22.5</t>
  </si>
  <si>
    <t>Date</t>
  </si>
  <si>
    <t>Data Entry</t>
  </si>
  <si>
    <t>Species</t>
  </si>
  <si>
    <t>Sex (M or F)</t>
  </si>
  <si>
    <t>F</t>
  </si>
  <si>
    <t>Comments (tide, weather, gonad color or other observations)</t>
  </si>
  <si>
    <t>Manini</t>
  </si>
  <si>
    <t>M</t>
  </si>
  <si>
    <t>Somatic Weight (Fish weight - gonads)</t>
  </si>
  <si>
    <t>Average of GSI (gonad weight/somatic weight*100)</t>
  </si>
  <si>
    <t>GSI (gonad weight/somatic weight*100)</t>
  </si>
  <si>
    <t>Sum of Average of GSI (gonad weight/somatic weight*100)</t>
  </si>
  <si>
    <t>Enter your spawning logbook data into the table below. Only enter in data for females. Females are ususally the best indictor of spawning timing. Do this for each fish species separately (only enter in one fish species at a time). Also this analysis after the size at maturity analysis and only enter in fish whose fork lengths are above the estimated size at maturity. Do not enter in data into the "Somatic Weight" annd "GSI" columns. These will be automatically calculated after you enter in your data. Use the sheet "Convert fish weight to grams" to convert all values for fish weights and gonad weights into grams. To the right of this box is an example of what the data will look like after you enter in your data. Don't worry if you have blanks or didn't fish every anahulu, just enter in the data that you have.</t>
  </si>
  <si>
    <t>Enter your spawning logbook data into the table below. Enter in all females. The month and anahulu is not entered. The maximum GSI is multipled by 5%. Individuals that have &lt; 5% of the maxium GSI are considered immature and &gt;5% are considered mature.   All the blue filled rows and tables will be filled out automatically. Fisheries managers  set the target size limts based on the size that half (50%) of the females are mature. This is indicated on the "Percent Mature" bar chart. The size at maturity can also be visually estimated from the plot "GSI range by fish length" and set at the fish length where the range in GSI values becomes large and variable.</t>
  </si>
  <si>
    <t>Percent Mature (sum of maturity/count of fish)</t>
  </si>
  <si>
    <t>Fish Length</t>
  </si>
  <si>
    <t>You can use this space to record all your data here including males and females, and any comments that were made. It is good to have a complete copy of all the data in one place. You will focus on one species at a time for the rest of this workbook. For questions and guidance using this workbook contact Eva Schemmel (eschemmel@conservation.org; 808-343-5263).</t>
  </si>
  <si>
    <t xml:space="preserve">Fish Species: </t>
  </si>
  <si>
    <t>Species 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</si>
</sst>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11"/>
      <color theme="1"/>
      <name val="Calibri"/>
      <family val="2"/>
      <scheme val="minor"/>
    </font>
    <font>
      <sz val="11"/>
      <color theme="1"/>
      <name val="Arial"/>
      <family val="2"/>
    </font>
    <font>
      <sz val="12"/>
      <color theme="1"/>
      <name val="Arial"/>
      <family val="2"/>
    </font>
    <font>
      <b/>
      <sz val="16"/>
      <color theme="1"/>
      <name val="Arial"/>
      <family val="2"/>
    </font>
    <font>
      <sz val="20"/>
      <color theme="1"/>
      <name val="Arial"/>
      <family val="2"/>
    </font>
    <font>
      <sz val="11"/>
      <color rgb="FF000000"/>
      <name val="Calibri"/>
      <family val="2"/>
    </font>
    <font>
      <sz val="14"/>
      <color theme="1"/>
      <name val="Arial"/>
      <family val="2"/>
    </font>
    <font>
      <sz val="14"/>
      <color theme="1"/>
      <name val="Calibri"/>
      <family val="2"/>
      <scheme val="minor"/>
    </font>
  </fonts>
  <fills count="11">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59999389629810485"/>
        <bgColor indexed="64"/>
      </patternFill>
    </fill>
    <fill>
      <patternFill patternType="solid">
        <fgColor rgb="FFFFC000"/>
        <bgColor indexed="64"/>
      </patternFill>
    </fill>
  </fills>
  <borders count="1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70">
    <xf numFmtId="0" fontId="0" fillId="0" borderId="0" xfId="0"/>
    <xf numFmtId="0" fontId="1" fillId="0" borderId="0" xfId="0" applyFont="1"/>
    <xf numFmtId="0" fontId="2" fillId="0" borderId="0" xfId="0" applyFont="1"/>
    <xf numFmtId="0" fontId="2" fillId="2" borderId="0" xfId="0" applyFont="1" applyFill="1"/>
    <xf numFmtId="0" fontId="2" fillId="3" borderId="0" xfId="0" applyFont="1" applyFill="1"/>
    <xf numFmtId="0" fontId="2" fillId="4" borderId="0" xfId="0" applyFont="1" applyFill="1"/>
    <xf numFmtId="0" fontId="2" fillId="0" borderId="2" xfId="0" applyFont="1" applyBorder="1"/>
    <xf numFmtId="0" fontId="1" fillId="0" borderId="0" xfId="0" pivotButton="1" applyFont="1"/>
    <xf numFmtId="0" fontId="1" fillId="0" borderId="0" xfId="0" applyFont="1" applyAlignment="1">
      <alignment horizontal="left"/>
    </xf>
    <xf numFmtId="0" fontId="1" fillId="0" borderId="0" xfId="0" applyNumberFormat="1" applyFont="1"/>
    <xf numFmtId="0" fontId="3" fillId="0" borderId="0" xfId="0" applyFont="1"/>
    <xf numFmtId="0" fontId="2" fillId="2" borderId="9" xfId="0" applyFont="1" applyFill="1" applyBorder="1"/>
    <xf numFmtId="0" fontId="2" fillId="2" borderId="10" xfId="0" applyFont="1" applyFill="1" applyBorder="1"/>
    <xf numFmtId="0" fontId="2" fillId="3" borderId="9" xfId="0" applyFont="1" applyFill="1" applyBorder="1"/>
    <xf numFmtId="0" fontId="2" fillId="3" borderId="10" xfId="0" applyFont="1" applyFill="1" applyBorder="1"/>
    <xf numFmtId="0" fontId="2" fillId="4" borderId="9" xfId="0" applyFont="1" applyFill="1" applyBorder="1"/>
    <xf numFmtId="0" fontId="2" fillId="4" borderId="10" xfId="0" applyFont="1" applyFill="1" applyBorder="1"/>
    <xf numFmtId="0" fontId="2" fillId="4" borderId="11" xfId="0" applyFont="1" applyFill="1" applyBorder="1"/>
    <xf numFmtId="0" fontId="2" fillId="4" borderId="12" xfId="0" applyFont="1" applyFill="1" applyBorder="1"/>
    <xf numFmtId="0" fontId="2" fillId="0" borderId="0" xfId="0" applyFont="1" applyBorder="1" applyAlignment="1">
      <alignment wrapText="1"/>
    </xf>
    <xf numFmtId="0" fontId="2" fillId="0" borderId="13" xfId="0" applyFont="1" applyBorder="1" applyAlignment="1">
      <alignment wrapText="1"/>
    </xf>
    <xf numFmtId="0" fontId="2" fillId="0" borderId="14" xfId="0" applyFont="1" applyBorder="1" applyAlignment="1">
      <alignment wrapText="1"/>
    </xf>
    <xf numFmtId="0" fontId="3" fillId="0" borderId="0" xfId="0" applyFont="1" applyBorder="1" applyAlignment="1"/>
    <xf numFmtId="0" fontId="0" fillId="0" borderId="0" xfId="0" applyNumberFormat="1"/>
    <xf numFmtId="0" fontId="0" fillId="0" borderId="0" xfId="0" applyAlignment="1">
      <alignment horizontal="left"/>
    </xf>
    <xf numFmtId="0" fontId="2" fillId="3" borderId="16" xfId="0" applyFont="1" applyFill="1" applyBorder="1" applyAlignment="1">
      <alignment wrapText="1"/>
    </xf>
    <xf numFmtId="0" fontId="2" fillId="9" borderId="17" xfId="0" applyFont="1" applyFill="1" applyBorder="1"/>
    <xf numFmtId="0" fontId="2" fillId="3" borderId="17" xfId="0" applyFont="1" applyFill="1" applyBorder="1" applyAlignment="1">
      <alignment wrapText="1"/>
    </xf>
    <xf numFmtId="0" fontId="2" fillId="3" borderId="17" xfId="0" applyFont="1" applyFill="1" applyBorder="1"/>
    <xf numFmtId="0" fontId="2" fillId="0" borderId="18" xfId="0" applyFont="1" applyBorder="1"/>
    <xf numFmtId="0" fontId="2" fillId="9" borderId="0" xfId="0" applyFont="1" applyFill="1"/>
    <xf numFmtId="0" fontId="2" fillId="0" borderId="18" xfId="0" applyNumberFormat="1" applyFont="1" applyBorder="1"/>
    <xf numFmtId="0" fontId="6" fillId="0" borderId="0" xfId="0" applyFont="1" applyBorder="1" applyAlignment="1">
      <alignment horizontal="left" vertical="top" wrapText="1"/>
    </xf>
    <xf numFmtId="0" fontId="0" fillId="0" borderId="0" xfId="0" pivotButton="1"/>
    <xf numFmtId="0" fontId="2" fillId="0" borderId="0" xfId="0" applyFont="1" applyBorder="1"/>
    <xf numFmtId="14" fontId="0" fillId="0" borderId="0" xfId="0" applyNumberFormat="1"/>
    <xf numFmtId="0" fontId="2" fillId="9" borderId="2" xfId="0" applyFont="1" applyFill="1" applyBorder="1" applyAlignment="1">
      <alignment wrapText="1"/>
    </xf>
    <xf numFmtId="10" fontId="0" fillId="0" borderId="0" xfId="0" applyNumberFormat="1"/>
    <xf numFmtId="0" fontId="2" fillId="9" borderId="17" xfId="0" applyFont="1" applyFill="1" applyBorder="1" applyAlignment="1">
      <alignment wrapText="1"/>
    </xf>
    <xf numFmtId="0" fontId="0" fillId="10" borderId="0" xfId="0" applyFill="1"/>
    <xf numFmtId="0" fontId="0" fillId="10" borderId="0" xfId="0" applyFill="1" applyAlignment="1">
      <alignment horizontal="left"/>
    </xf>
    <xf numFmtId="1" fontId="0" fillId="10" borderId="0" xfId="0" applyNumberFormat="1" applyFill="1"/>
    <xf numFmtId="0" fontId="2" fillId="2" borderId="0" xfId="0" applyFont="1" applyFill="1" applyAlignment="1">
      <alignment vertical="top"/>
    </xf>
    <xf numFmtId="0" fontId="2" fillId="3" borderId="0" xfId="0" applyFont="1" applyFill="1" applyAlignment="1">
      <alignment vertical="top"/>
    </xf>
    <xf numFmtId="0" fontId="2" fillId="4" borderId="0" xfId="0" applyFont="1" applyFill="1" applyAlignment="1">
      <alignment vertical="top"/>
    </xf>
    <xf numFmtId="0" fontId="7" fillId="0" borderId="0" xfId="0" applyFont="1"/>
    <xf numFmtId="0" fontId="7" fillId="0" borderId="0" xfId="0" pivotButton="1" applyFont="1"/>
    <xf numFmtId="0" fontId="7" fillId="0" borderId="0" xfId="0" applyFont="1" applyAlignment="1">
      <alignment horizontal="left"/>
    </xf>
    <xf numFmtId="164" fontId="7" fillId="0" borderId="0" xfId="0" applyNumberFormat="1" applyFont="1"/>
    <xf numFmtId="0" fontId="2" fillId="2" borderId="0" xfId="0" applyFont="1" applyFill="1" applyBorder="1" applyAlignment="1">
      <alignment vertical="top"/>
    </xf>
    <xf numFmtId="0" fontId="2" fillId="0" borderId="0" xfId="0" applyFont="1" applyAlignment="1">
      <alignment horizontal="left" vertical="top" wrapText="1"/>
    </xf>
    <xf numFmtId="0" fontId="3" fillId="0" borderId="0" xfId="0" applyFont="1" applyAlignment="1">
      <alignment horizontal="left"/>
    </xf>
    <xf numFmtId="0" fontId="6" fillId="0" borderId="3" xfId="0" applyFont="1" applyBorder="1" applyAlignment="1">
      <alignment horizontal="left" vertical="top" wrapText="1"/>
    </xf>
    <xf numFmtId="0" fontId="6" fillId="0" borderId="8" xfId="0" applyFont="1" applyBorder="1" applyAlignment="1">
      <alignment horizontal="left" vertical="top" wrapText="1"/>
    </xf>
    <xf numFmtId="0" fontId="6" fillId="0" borderId="4" xfId="0" applyFont="1" applyBorder="1" applyAlignment="1">
      <alignment horizontal="left" vertical="top" wrapText="1"/>
    </xf>
    <xf numFmtId="0" fontId="6" fillId="0" borderId="7" xfId="0" applyFont="1" applyBorder="1" applyAlignment="1">
      <alignment horizontal="left" vertical="top" wrapText="1"/>
    </xf>
    <xf numFmtId="0" fontId="6" fillId="0" borderId="0" xfId="0" applyFont="1" applyBorder="1" applyAlignment="1">
      <alignment horizontal="left" vertical="top" wrapText="1"/>
    </xf>
    <xf numFmtId="0" fontId="6" fillId="0" borderId="15" xfId="0" applyFont="1" applyBorder="1" applyAlignment="1">
      <alignment horizontal="left" vertical="top" wrapText="1"/>
    </xf>
    <xf numFmtId="0" fontId="6" fillId="0" borderId="5" xfId="0" applyFont="1" applyBorder="1" applyAlignment="1">
      <alignment horizontal="left" vertical="top" wrapText="1"/>
    </xf>
    <xf numFmtId="0" fontId="6" fillId="0" borderId="1" xfId="0" applyFont="1" applyBorder="1" applyAlignment="1">
      <alignment horizontal="left" vertical="top" wrapText="1"/>
    </xf>
    <xf numFmtId="0" fontId="6" fillId="0" borderId="6" xfId="0" applyFont="1" applyBorder="1" applyAlignment="1">
      <alignment horizontal="left" vertical="top" wrapText="1"/>
    </xf>
    <xf numFmtId="0" fontId="2" fillId="5" borderId="0" xfId="0" applyFont="1" applyFill="1" applyAlignment="1">
      <alignment horizontal="center" vertical="center"/>
    </xf>
    <xf numFmtId="0" fontId="2" fillId="7" borderId="0" xfId="0" applyFont="1" applyFill="1" applyAlignment="1">
      <alignment horizontal="center" vertical="center"/>
    </xf>
    <xf numFmtId="0" fontId="2" fillId="8" borderId="0" xfId="0" applyFont="1" applyFill="1" applyAlignment="1">
      <alignment horizontal="center" vertical="center"/>
    </xf>
    <xf numFmtId="0" fontId="2" fillId="6" borderId="0" xfId="0" applyFont="1" applyFill="1" applyAlignment="1">
      <alignment horizontal="center" vertical="center"/>
    </xf>
    <xf numFmtId="0" fontId="4" fillId="0" borderId="0" xfId="0" applyFont="1" applyAlignment="1">
      <alignment horizontal="center" vertical="center"/>
    </xf>
    <xf numFmtId="0" fontId="2" fillId="0" borderId="7" xfId="0" applyFont="1" applyBorder="1" applyAlignment="1">
      <alignment horizontal="left" vertical="top"/>
    </xf>
    <xf numFmtId="0" fontId="2" fillId="0" borderId="0" xfId="0" applyFont="1" applyBorder="1" applyAlignment="1">
      <alignment horizontal="left" vertical="top"/>
    </xf>
    <xf numFmtId="0" fontId="2" fillId="0" borderId="7" xfId="0" applyFont="1" applyBorder="1" applyAlignment="1">
      <alignment horizontal="left" vertical="top" wrapText="1"/>
    </xf>
    <xf numFmtId="0" fontId="2" fillId="0" borderId="0" xfId="0" applyFont="1" applyBorder="1" applyAlignment="1">
      <alignment horizontal="left" vertical="top" wrapText="1"/>
    </xf>
  </cellXfs>
  <cellStyles count="1">
    <cellStyle name="Normal" xfId="0" builtinId="0"/>
  </cellStyles>
  <dxfs count="16">
    <dxf>
      <numFmt numFmtId="164" formatCode="0.0"/>
    </dxf>
    <dxf>
      <numFmt numFmtId="2" formatCode="0.00"/>
    </dxf>
    <dxf>
      <numFmt numFmtId="165" formatCode="0.000"/>
    </dxf>
    <dxf>
      <numFmt numFmtId="166" formatCode="0.0000"/>
    </dxf>
    <dxf>
      <numFmt numFmtId="167" formatCode="0.00000"/>
    </dxf>
    <dxf>
      <numFmt numFmtId="168" formatCode="0.000000"/>
    </dxf>
    <dxf>
      <numFmt numFmtId="169" formatCode="0.0000000"/>
    </dxf>
    <dxf>
      <numFmt numFmtId="170" formatCode="0.00000000"/>
    </dxf>
    <dxf>
      <font>
        <sz val="14"/>
      </font>
    </dxf>
    <dxf>
      <font>
        <sz val="12"/>
      </font>
    </dxf>
    <dxf>
      <font>
        <name val="Arial"/>
        <scheme val="none"/>
      </font>
    </dxf>
    <dxf>
      <font>
        <b val="0"/>
      </font>
    </dxf>
    <dxf>
      <font>
        <b val="0"/>
      </font>
    </dxf>
    <dxf>
      <font>
        <sz val="12"/>
      </font>
    </dxf>
    <dxf>
      <font>
        <name val="Arial"/>
        <scheme val="none"/>
      </font>
    </dxf>
    <dxf>
      <border>
        <left style="medium">
          <color indexed="64"/>
        </left>
        <right style="medium">
          <color indexed="64"/>
        </right>
        <top style="medium">
          <color indexed="64"/>
        </top>
        <bottom style="medium">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GSI range</a:t>
            </a:r>
            <a:r>
              <a:rPr lang="en-US" baseline="0"/>
              <a:t> by fish length</a:t>
            </a:r>
            <a:endParaRPr lang="en-US"/>
          </a:p>
        </c:rich>
      </c:tx>
      <c:layout/>
      <c:overlay val="1"/>
    </c:title>
    <c:autoTitleDeleted val="0"/>
    <c:plotArea>
      <c:layout>
        <c:manualLayout>
          <c:layoutTarget val="inner"/>
          <c:xMode val="edge"/>
          <c:yMode val="edge"/>
          <c:x val="8.9877788892926469E-2"/>
          <c:y val="0.1911691103267264"/>
          <c:w val="0.89308321611912389"/>
          <c:h val="0.66215947144537979"/>
        </c:manualLayout>
      </c:layout>
      <c:scatterChart>
        <c:scatterStyle val="lineMarker"/>
        <c:varyColors val="0"/>
        <c:ser>
          <c:idx val="3"/>
          <c:order val="0"/>
          <c:tx>
            <c:strRef>
              <c:f>'Species 1 - Size at maturity'!$F$12</c:f>
              <c:strCache>
                <c:ptCount val="1"/>
                <c:pt idx="0">
                  <c:v>GSI (somatic/gonad weight*100)</c:v>
                </c:pt>
              </c:strCache>
            </c:strRef>
          </c:tx>
          <c:spPr>
            <a:ln w="28575">
              <a:noFill/>
            </a:ln>
          </c:spPr>
          <c:marker>
            <c:symbol val="circle"/>
            <c:size val="7"/>
            <c:spPr>
              <a:solidFill>
                <a:schemeClr val="tx1"/>
              </a:solidFill>
            </c:spPr>
          </c:marker>
          <c:xVal>
            <c:numRef>
              <c:f>'Species 1 - Size at maturity'!$B$13:$B$112</c:f>
              <c:numCache>
                <c:formatCode>General</c:formatCode>
                <c:ptCount val="100"/>
                <c:pt idx="0">
                  <c:v>13.5</c:v>
                </c:pt>
                <c:pt idx="1">
                  <c:v>14.4</c:v>
                </c:pt>
                <c:pt idx="2">
                  <c:v>14.5</c:v>
                </c:pt>
                <c:pt idx="3">
                  <c:v>13.3</c:v>
                </c:pt>
                <c:pt idx="4">
                  <c:v>11.7</c:v>
                </c:pt>
                <c:pt idx="5">
                  <c:v>11.6</c:v>
                </c:pt>
                <c:pt idx="6">
                  <c:v>11.9</c:v>
                </c:pt>
                <c:pt idx="7">
                  <c:v>14.2</c:v>
                </c:pt>
                <c:pt idx="8">
                  <c:v>9.5</c:v>
                </c:pt>
                <c:pt idx="9">
                  <c:v>13</c:v>
                </c:pt>
                <c:pt idx="10">
                  <c:v>11.5</c:v>
                </c:pt>
                <c:pt idx="11">
                  <c:v>11.5</c:v>
                </c:pt>
                <c:pt idx="12">
                  <c:v>12.4</c:v>
                </c:pt>
                <c:pt idx="13">
                  <c:v>16.5</c:v>
                </c:pt>
                <c:pt idx="14">
                  <c:v>15</c:v>
                </c:pt>
                <c:pt idx="15">
                  <c:v>14.1</c:v>
                </c:pt>
                <c:pt idx="16">
                  <c:v>13</c:v>
                </c:pt>
                <c:pt idx="17">
                  <c:v>15.5</c:v>
                </c:pt>
                <c:pt idx="18">
                  <c:v>16.5</c:v>
                </c:pt>
                <c:pt idx="19">
                  <c:v>17.399999999999999</c:v>
                </c:pt>
                <c:pt idx="20">
                  <c:v>19.2</c:v>
                </c:pt>
                <c:pt idx="21">
                  <c:v>13</c:v>
                </c:pt>
                <c:pt idx="22">
                  <c:v>17.5</c:v>
                </c:pt>
                <c:pt idx="23">
                  <c:v>15</c:v>
                </c:pt>
                <c:pt idx="24">
                  <c:v>14.5</c:v>
                </c:pt>
                <c:pt idx="25">
                  <c:v>21</c:v>
                </c:pt>
                <c:pt idx="26">
                  <c:v>16.8</c:v>
                </c:pt>
                <c:pt idx="27">
                  <c:v>17.600000000000001</c:v>
                </c:pt>
                <c:pt idx="28">
                  <c:v>18.8</c:v>
                </c:pt>
                <c:pt idx="29">
                  <c:v>16.5</c:v>
                </c:pt>
                <c:pt idx="30">
                  <c:v>14.9</c:v>
                </c:pt>
                <c:pt idx="31">
                  <c:v>20.6</c:v>
                </c:pt>
                <c:pt idx="32">
                  <c:v>16.5</c:v>
                </c:pt>
                <c:pt idx="33">
                  <c:v>16</c:v>
                </c:pt>
                <c:pt idx="34">
                  <c:v>17.899999999999999</c:v>
                </c:pt>
                <c:pt idx="35">
                  <c:v>17.5</c:v>
                </c:pt>
                <c:pt idx="36">
                  <c:v>18.100000000000001</c:v>
                </c:pt>
                <c:pt idx="37">
                  <c:v>16.8</c:v>
                </c:pt>
                <c:pt idx="38">
                  <c:v>17.5</c:v>
                </c:pt>
                <c:pt idx="39">
                  <c:v>15.7</c:v>
                </c:pt>
                <c:pt idx="40">
                  <c:v>17.8</c:v>
                </c:pt>
                <c:pt idx="41">
                  <c:v>20.8</c:v>
                </c:pt>
                <c:pt idx="42">
                  <c:v>18.899999999999999</c:v>
                </c:pt>
                <c:pt idx="43">
                  <c:v>18</c:v>
                </c:pt>
                <c:pt idx="44">
                  <c:v>16.7</c:v>
                </c:pt>
                <c:pt idx="45">
                  <c:v>16</c:v>
                </c:pt>
                <c:pt idx="46">
                  <c:v>22.2</c:v>
                </c:pt>
                <c:pt idx="47">
                  <c:v>18.3</c:v>
                </c:pt>
                <c:pt idx="48">
                  <c:v>16.5</c:v>
                </c:pt>
                <c:pt idx="49">
                  <c:v>14.2</c:v>
                </c:pt>
                <c:pt idx="50">
                  <c:v>18.100000000000001</c:v>
                </c:pt>
                <c:pt idx="51">
                  <c:v>15</c:v>
                </c:pt>
                <c:pt idx="52">
                  <c:v>15.4</c:v>
                </c:pt>
                <c:pt idx="53">
                  <c:v>14</c:v>
                </c:pt>
                <c:pt idx="54">
                  <c:v>17</c:v>
                </c:pt>
                <c:pt idx="55">
                  <c:v>14.8</c:v>
                </c:pt>
                <c:pt idx="56">
                  <c:v>14</c:v>
                </c:pt>
                <c:pt idx="57">
                  <c:v>15.8</c:v>
                </c:pt>
                <c:pt idx="58">
                  <c:v>16.100000000000001</c:v>
                </c:pt>
                <c:pt idx="59">
                  <c:v>16.7</c:v>
                </c:pt>
                <c:pt idx="60">
                  <c:v>15.7</c:v>
                </c:pt>
                <c:pt idx="61">
                  <c:v>14.7</c:v>
                </c:pt>
                <c:pt idx="62">
                  <c:v>19.5</c:v>
                </c:pt>
                <c:pt idx="63">
                  <c:v>16.399999999999999</c:v>
                </c:pt>
                <c:pt idx="64">
                  <c:v>15</c:v>
                </c:pt>
                <c:pt idx="65">
                  <c:v>15.1</c:v>
                </c:pt>
                <c:pt idx="66">
                  <c:v>15.4</c:v>
                </c:pt>
                <c:pt idx="67">
                  <c:v>16.8</c:v>
                </c:pt>
                <c:pt idx="68">
                  <c:v>17.3</c:v>
                </c:pt>
                <c:pt idx="69">
                  <c:v>16.5</c:v>
                </c:pt>
                <c:pt idx="70">
                  <c:v>15.3</c:v>
                </c:pt>
                <c:pt idx="71">
                  <c:v>13.3</c:v>
                </c:pt>
                <c:pt idx="72">
                  <c:v>18.399999999999999</c:v>
                </c:pt>
                <c:pt idx="73">
                  <c:v>16.8</c:v>
                </c:pt>
                <c:pt idx="74">
                  <c:v>16</c:v>
                </c:pt>
                <c:pt idx="75">
                  <c:v>14.7</c:v>
                </c:pt>
                <c:pt idx="76">
                  <c:v>13.8</c:v>
                </c:pt>
                <c:pt idx="77">
                  <c:v>15.7</c:v>
                </c:pt>
                <c:pt idx="78">
                  <c:v>15.9</c:v>
                </c:pt>
                <c:pt idx="79">
                  <c:v>18.8</c:v>
                </c:pt>
                <c:pt idx="80">
                  <c:v>15.9</c:v>
                </c:pt>
                <c:pt idx="81">
                  <c:v>18.600000000000001</c:v>
                </c:pt>
                <c:pt idx="82">
                  <c:v>12.7</c:v>
                </c:pt>
                <c:pt idx="83">
                  <c:v>15.7</c:v>
                </c:pt>
                <c:pt idx="84">
                  <c:v>17.8</c:v>
                </c:pt>
                <c:pt idx="85">
                  <c:v>20.3</c:v>
                </c:pt>
                <c:pt idx="86">
                  <c:v>16.899999999999999</c:v>
                </c:pt>
                <c:pt idx="87">
                  <c:v>15.7</c:v>
                </c:pt>
                <c:pt idx="88">
                  <c:v>17.5</c:v>
                </c:pt>
                <c:pt idx="89">
                  <c:v>15</c:v>
                </c:pt>
                <c:pt idx="90">
                  <c:v>16.7</c:v>
                </c:pt>
                <c:pt idx="91">
                  <c:v>17.5</c:v>
                </c:pt>
                <c:pt idx="92">
                  <c:v>15.7</c:v>
                </c:pt>
                <c:pt idx="93">
                  <c:v>15</c:v>
                </c:pt>
                <c:pt idx="94">
                  <c:v>13.3</c:v>
                </c:pt>
                <c:pt idx="95">
                  <c:v>17.8</c:v>
                </c:pt>
                <c:pt idx="96">
                  <c:v>20.399999999999999</c:v>
                </c:pt>
                <c:pt idx="97">
                  <c:v>16</c:v>
                </c:pt>
                <c:pt idx="98">
                  <c:v>17.2</c:v>
                </c:pt>
                <c:pt idx="99">
                  <c:v>15.2</c:v>
                </c:pt>
              </c:numCache>
            </c:numRef>
          </c:xVal>
          <c:yVal>
            <c:numRef>
              <c:f>'Species 1 - Size at maturity'!$F$13:$F$112</c:f>
              <c:numCache>
                <c:formatCode>General</c:formatCode>
                <c:ptCount val="100"/>
                <c:pt idx="0">
                  <c:v>0.24621878297572986</c:v>
                </c:pt>
                <c:pt idx="1">
                  <c:v>3.6124155945202428E-2</c:v>
                </c:pt>
                <c:pt idx="2">
                  <c:v>0.33898305084745761</c:v>
                </c:pt>
                <c:pt idx="3">
                  <c:v>0.45662100456621002</c:v>
                </c:pt>
                <c:pt idx="4">
                  <c:v>0.30864197530864196</c:v>
                </c:pt>
                <c:pt idx="5">
                  <c:v>0.27247956403269757</c:v>
                </c:pt>
                <c:pt idx="6">
                  <c:v>0.14548981571290009</c:v>
                </c:pt>
                <c:pt idx="7">
                  <c:v>0.1631730889920924</c:v>
                </c:pt>
                <c:pt idx="8">
                  <c:v>0.17421602787456447</c:v>
                </c:pt>
                <c:pt idx="9">
                  <c:v>0.19335559852346634</c:v>
                </c:pt>
                <c:pt idx="10">
                  <c:v>7.8905839032088379E-2</c:v>
                </c:pt>
                <c:pt idx="11">
                  <c:v>2.4044241404183698E-2</c:v>
                </c:pt>
                <c:pt idx="12">
                  <c:v>0.23676280671545416</c:v>
                </c:pt>
                <c:pt idx="13">
                  <c:v>0.17488250081976173</c:v>
                </c:pt>
                <c:pt idx="14">
                  <c:v>0.22053418279833376</c:v>
                </c:pt>
                <c:pt idx="15">
                  <c:v>1.2663185378590078</c:v>
                </c:pt>
                <c:pt idx="16">
                  <c:v>0.27322404371584702</c:v>
                </c:pt>
                <c:pt idx="17">
                  <c:v>3.8390153365243727</c:v>
                </c:pt>
                <c:pt idx="18">
                  <c:v>4.0730781398291684</c:v>
                </c:pt>
                <c:pt idx="19">
                  <c:v>3.2469381942466535</c:v>
                </c:pt>
                <c:pt idx="20">
                  <c:v>4.3829296424452133</c:v>
                </c:pt>
                <c:pt idx="21">
                  <c:v>0.88495575221238942</c:v>
                </c:pt>
                <c:pt idx="22">
                  <c:v>3.5690336040533488</c:v>
                </c:pt>
                <c:pt idx="23">
                  <c:v>0.44313146233382572</c:v>
                </c:pt>
                <c:pt idx="24">
                  <c:v>0.22836843440751081</c:v>
                </c:pt>
                <c:pt idx="25">
                  <c:v>11.964171465131159</c:v>
                </c:pt>
                <c:pt idx="26">
                  <c:v>16.709892552797331</c:v>
                </c:pt>
                <c:pt idx="27">
                  <c:v>19.471653309587413</c:v>
                </c:pt>
                <c:pt idx="28">
                  <c:v>2.0913186739291239</c:v>
                </c:pt>
                <c:pt idx="29">
                  <c:v>2.7731017985292814</c:v>
                </c:pt>
                <c:pt idx="30">
                  <c:v>1.6138673042438731</c:v>
                </c:pt>
                <c:pt idx="31">
                  <c:v>5.6897647806738716</c:v>
                </c:pt>
                <c:pt idx="32">
                  <c:v>6.7675493905002106</c:v>
                </c:pt>
                <c:pt idx="33">
                  <c:v>8.8390501319261201</c:v>
                </c:pt>
                <c:pt idx="34">
                  <c:v>5.3046750615139677</c:v>
                </c:pt>
                <c:pt idx="35">
                  <c:v>18.183323673097625</c:v>
                </c:pt>
                <c:pt idx="36">
                  <c:v>15.082766775051731</c:v>
                </c:pt>
                <c:pt idx="37">
                  <c:v>10.94581191957443</c:v>
                </c:pt>
                <c:pt idx="38">
                  <c:v>13.324175824175827</c:v>
                </c:pt>
                <c:pt idx="39">
                  <c:v>11.446224735574404</c:v>
                </c:pt>
                <c:pt idx="40">
                  <c:v>2.6471864602922035</c:v>
                </c:pt>
                <c:pt idx="41">
                  <c:v>2.3821498788349871</c:v>
                </c:pt>
                <c:pt idx="42">
                  <c:v>2.1105266575751669</c:v>
                </c:pt>
                <c:pt idx="43">
                  <c:v>1.8312818973281293</c:v>
                </c:pt>
                <c:pt idx="44">
                  <c:v>2.4585965511353933</c:v>
                </c:pt>
                <c:pt idx="45">
                  <c:v>3.1048135028130863</c:v>
                </c:pt>
                <c:pt idx="46">
                  <c:v>5.2075870130849582</c:v>
                </c:pt>
                <c:pt idx="47">
                  <c:v>4.093938432243732</c:v>
                </c:pt>
                <c:pt idx="48">
                  <c:v>4.4240733359904336</c:v>
                </c:pt>
                <c:pt idx="49">
                  <c:v>2.6940517471325682</c:v>
                </c:pt>
                <c:pt idx="50">
                  <c:v>3.1502648452746032</c:v>
                </c:pt>
                <c:pt idx="51">
                  <c:v>2.4007281829559677</c:v>
                </c:pt>
                <c:pt idx="52">
                  <c:v>2.8638223261250735</c:v>
                </c:pt>
                <c:pt idx="53">
                  <c:v>0.75187969924812026</c:v>
                </c:pt>
                <c:pt idx="54">
                  <c:v>5.7444984281223208</c:v>
                </c:pt>
                <c:pt idx="55">
                  <c:v>4.7184920537144261</c:v>
                </c:pt>
                <c:pt idx="56">
                  <c:v>0.37281330656724981</c:v>
                </c:pt>
                <c:pt idx="57">
                  <c:v>2.5695252194141909</c:v>
                </c:pt>
                <c:pt idx="58">
                  <c:v>2.8773509082141135</c:v>
                </c:pt>
                <c:pt idx="59">
                  <c:v>1.6111314536799708</c:v>
                </c:pt>
                <c:pt idx="60">
                  <c:v>0.55248618784530379</c:v>
                </c:pt>
                <c:pt idx="61">
                  <c:v>1.0230179028132993</c:v>
                </c:pt>
                <c:pt idx="62">
                  <c:v>1.610761503377403</c:v>
                </c:pt>
                <c:pt idx="63">
                  <c:v>1.4121884181594162</c:v>
                </c:pt>
                <c:pt idx="64">
                  <c:v>0.32965457933209119</c:v>
                </c:pt>
                <c:pt idx="65">
                  <c:v>0.52656773575873628</c:v>
                </c:pt>
                <c:pt idx="66">
                  <c:v>8.9987325728770582</c:v>
                </c:pt>
                <c:pt idx="67">
                  <c:v>2.6441424899008448</c:v>
                </c:pt>
                <c:pt idx="68">
                  <c:v>6.8021406965019793</c:v>
                </c:pt>
                <c:pt idx="69">
                  <c:v>0.79802394071822147</c:v>
                </c:pt>
                <c:pt idx="70">
                  <c:v>0.36476179949154419</c:v>
                </c:pt>
                <c:pt idx="71">
                  <c:v>0.50933786078098464</c:v>
                </c:pt>
                <c:pt idx="72">
                  <c:v>0.85031886957609104</c:v>
                </c:pt>
                <c:pt idx="73">
                  <c:v>3.1029512176617859</c:v>
                </c:pt>
                <c:pt idx="74">
                  <c:v>1.1037527593818985</c:v>
                </c:pt>
                <c:pt idx="75">
                  <c:v>4.4271713416694833</c:v>
                </c:pt>
                <c:pt idx="76">
                  <c:v>0.65170166545981179</c:v>
                </c:pt>
                <c:pt idx="77">
                  <c:v>2.5800435188063418</c:v>
                </c:pt>
                <c:pt idx="78">
                  <c:v>1.5421372719374458</c:v>
                </c:pt>
                <c:pt idx="79">
                  <c:v>5.9770114942528734</c:v>
                </c:pt>
                <c:pt idx="80">
                  <c:v>3.0502012285532722</c:v>
                </c:pt>
                <c:pt idx="81">
                  <c:v>7.5746683223318749</c:v>
                </c:pt>
                <c:pt idx="82">
                  <c:v>0.77519379844961245</c:v>
                </c:pt>
                <c:pt idx="83">
                  <c:v>1.2241054613935971</c:v>
                </c:pt>
                <c:pt idx="84">
                  <c:v>1.9467878001297858</c:v>
                </c:pt>
                <c:pt idx="85">
                  <c:v>13.792941838121573</c:v>
                </c:pt>
                <c:pt idx="86">
                  <c:v>16.327551701134087</c:v>
                </c:pt>
                <c:pt idx="87">
                  <c:v>21.272147023219983</c:v>
                </c:pt>
                <c:pt idx="88">
                  <c:v>8.8355763604447048</c:v>
                </c:pt>
                <c:pt idx="89">
                  <c:v>0.93045449123225576</c:v>
                </c:pt>
                <c:pt idx="90">
                  <c:v>0.73004675580346157</c:v>
                </c:pt>
                <c:pt idx="91">
                  <c:v>1.5912774421688523</c:v>
                </c:pt>
                <c:pt idx="92">
                  <c:v>1.0224181596473128</c:v>
                </c:pt>
                <c:pt idx="93">
                  <c:v>0.29037301764574497</c:v>
                </c:pt>
                <c:pt idx="94">
                  <c:v>0.29181385347872835</c:v>
                </c:pt>
                <c:pt idx="95">
                  <c:v>2.4600889819419001</c:v>
                </c:pt>
                <c:pt idx="96">
                  <c:v>3.4307238114628937</c:v>
                </c:pt>
                <c:pt idx="97">
                  <c:v>0.89046425175067001</c:v>
                </c:pt>
                <c:pt idx="98">
                  <c:v>9.916807774423912</c:v>
                </c:pt>
                <c:pt idx="99">
                  <c:v>12.58278145695364</c:v>
                </c:pt>
              </c:numCache>
            </c:numRef>
          </c:yVal>
          <c:smooth val="0"/>
        </c:ser>
        <c:dLbls>
          <c:showLegendKey val="0"/>
          <c:showVal val="0"/>
          <c:showCatName val="0"/>
          <c:showSerName val="0"/>
          <c:showPercent val="0"/>
          <c:showBubbleSize val="0"/>
        </c:dLbls>
        <c:axId val="236993152"/>
        <c:axId val="237048960"/>
      </c:scatterChart>
      <c:valAx>
        <c:axId val="236993152"/>
        <c:scaling>
          <c:orientation val="minMax"/>
          <c:min val="7"/>
        </c:scaling>
        <c:delete val="0"/>
        <c:axPos val="b"/>
        <c:title>
          <c:tx>
            <c:rich>
              <a:bodyPr/>
              <a:lstStyle/>
              <a:p>
                <a:pPr>
                  <a:defRPr/>
                </a:pPr>
                <a:r>
                  <a:rPr lang="en-US"/>
                  <a:t>Fork Length</a:t>
                </a:r>
              </a:p>
            </c:rich>
          </c:tx>
          <c:layout/>
          <c:overlay val="0"/>
        </c:title>
        <c:numFmt formatCode="General" sourceLinked="1"/>
        <c:majorTickMark val="out"/>
        <c:minorTickMark val="none"/>
        <c:tickLblPos val="nextTo"/>
        <c:crossAx val="237048960"/>
        <c:crosses val="autoZero"/>
        <c:crossBetween val="midCat"/>
        <c:majorUnit val="1"/>
      </c:valAx>
      <c:valAx>
        <c:axId val="237048960"/>
        <c:scaling>
          <c:orientation val="minMax"/>
        </c:scaling>
        <c:delete val="0"/>
        <c:axPos val="l"/>
        <c:title>
          <c:tx>
            <c:rich>
              <a:bodyPr rot="-5400000" vert="horz"/>
              <a:lstStyle/>
              <a:p>
                <a:pPr>
                  <a:defRPr/>
                </a:pPr>
                <a:r>
                  <a:rPr lang="en-US"/>
                  <a:t>GSI</a:t>
                </a:r>
              </a:p>
            </c:rich>
          </c:tx>
          <c:layout/>
          <c:overlay val="0"/>
        </c:title>
        <c:numFmt formatCode="General" sourceLinked="1"/>
        <c:majorTickMark val="out"/>
        <c:minorTickMark val="none"/>
        <c:tickLblPos val="nextTo"/>
        <c:crossAx val="236993152"/>
        <c:crosses val="autoZero"/>
        <c:crossBetween val="midCat"/>
      </c:valAx>
    </c:plotArea>
    <c:plotVisOnly val="1"/>
    <c:dispBlanksAs val="gap"/>
    <c:showDLblsOverMax val="0"/>
  </c:chart>
  <c:txPr>
    <a:bodyPr/>
    <a:lstStyle/>
    <a:p>
      <a:pPr>
        <a:defRPr sz="14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L50: Size at maturity</a:t>
            </a:r>
          </a:p>
        </c:rich>
      </c:tx>
      <c:layout/>
      <c:overlay val="0"/>
    </c:title>
    <c:autoTitleDeleted val="0"/>
    <c:plotArea>
      <c:layout/>
      <c:barChart>
        <c:barDir val="col"/>
        <c:grouping val="clustered"/>
        <c:varyColors val="0"/>
        <c:ser>
          <c:idx val="0"/>
          <c:order val="0"/>
          <c:tx>
            <c:strRef>
              <c:f>'Species 1 - Size at maturity'!$M$13:$M$24</c:f>
              <c:strCache>
                <c:ptCount val="1"/>
                <c:pt idx="0">
                  <c:v>0 0 0 25 41 81 83 93 100 100 100 100</c:v>
                </c:pt>
              </c:strCache>
            </c:strRef>
          </c:tx>
          <c:invertIfNegative val="0"/>
          <c:cat>
            <c:strRef>
              <c:f>'Species 1 - Size at maturity'!$N$13:$N$24</c:f>
              <c:strCache>
                <c:ptCount val="12"/>
                <c:pt idx="0">
                  <c:v>9.5-10.5</c:v>
                </c:pt>
                <c:pt idx="1">
                  <c:v>11.5-12.5</c:v>
                </c:pt>
                <c:pt idx="2">
                  <c:v>12.5-13.5</c:v>
                </c:pt>
                <c:pt idx="3">
                  <c:v>13.5-14.5</c:v>
                </c:pt>
                <c:pt idx="4">
                  <c:v>14.5-15.5</c:v>
                </c:pt>
                <c:pt idx="5">
                  <c:v>15.5-16.5</c:v>
                </c:pt>
                <c:pt idx="6">
                  <c:v>16.5-17.5</c:v>
                </c:pt>
                <c:pt idx="7">
                  <c:v>17.5-18.5</c:v>
                </c:pt>
                <c:pt idx="8">
                  <c:v>18.5-19.5</c:v>
                </c:pt>
                <c:pt idx="9">
                  <c:v>19.5-20.5</c:v>
                </c:pt>
                <c:pt idx="10">
                  <c:v>20.5-21.5</c:v>
                </c:pt>
                <c:pt idx="11">
                  <c:v>21.5-22.5</c:v>
                </c:pt>
              </c:strCache>
            </c:strRef>
          </c:cat>
          <c:val>
            <c:numRef>
              <c:f>'Species 1 - Size at maturity'!$M$13:$M$24</c:f>
              <c:numCache>
                <c:formatCode>0</c:formatCode>
                <c:ptCount val="12"/>
                <c:pt idx="0">
                  <c:v>0</c:v>
                </c:pt>
                <c:pt idx="1">
                  <c:v>0</c:v>
                </c:pt>
                <c:pt idx="2">
                  <c:v>0</c:v>
                </c:pt>
                <c:pt idx="3">
                  <c:v>25</c:v>
                </c:pt>
                <c:pt idx="4">
                  <c:v>41.17647058823529</c:v>
                </c:pt>
                <c:pt idx="5">
                  <c:v>81.25</c:v>
                </c:pt>
                <c:pt idx="6">
                  <c:v>83.333333333333343</c:v>
                </c:pt>
                <c:pt idx="7">
                  <c:v>93.333333333333329</c:v>
                </c:pt>
                <c:pt idx="8">
                  <c:v>100</c:v>
                </c:pt>
                <c:pt idx="9">
                  <c:v>100</c:v>
                </c:pt>
                <c:pt idx="10">
                  <c:v>100</c:v>
                </c:pt>
                <c:pt idx="11">
                  <c:v>100</c:v>
                </c:pt>
              </c:numCache>
            </c:numRef>
          </c:val>
        </c:ser>
        <c:dLbls>
          <c:showLegendKey val="0"/>
          <c:showVal val="0"/>
          <c:showCatName val="0"/>
          <c:showSerName val="0"/>
          <c:showPercent val="0"/>
          <c:showBubbleSize val="0"/>
        </c:dLbls>
        <c:gapWidth val="150"/>
        <c:axId val="237106304"/>
        <c:axId val="237107840"/>
      </c:barChart>
      <c:catAx>
        <c:axId val="237106304"/>
        <c:scaling>
          <c:orientation val="minMax"/>
        </c:scaling>
        <c:delete val="0"/>
        <c:axPos val="b"/>
        <c:majorTickMark val="out"/>
        <c:minorTickMark val="none"/>
        <c:tickLblPos val="nextTo"/>
        <c:crossAx val="237107840"/>
        <c:crosses val="autoZero"/>
        <c:auto val="1"/>
        <c:lblAlgn val="ctr"/>
        <c:lblOffset val="100"/>
        <c:noMultiLvlLbl val="0"/>
      </c:catAx>
      <c:valAx>
        <c:axId val="237107840"/>
        <c:scaling>
          <c:orientation val="minMax"/>
          <c:max val="100"/>
          <c:min val="0"/>
        </c:scaling>
        <c:delete val="0"/>
        <c:axPos val="l"/>
        <c:majorGridlines>
          <c:spPr>
            <a:ln>
              <a:solidFill>
                <a:schemeClr val="accent2"/>
              </a:solidFill>
            </a:ln>
          </c:spPr>
        </c:majorGridlines>
        <c:numFmt formatCode="0" sourceLinked="1"/>
        <c:majorTickMark val="out"/>
        <c:minorTickMark val="none"/>
        <c:tickLblPos val="nextTo"/>
        <c:crossAx val="237106304"/>
        <c:crosses val="autoZero"/>
        <c:crossBetween val="between"/>
        <c:majorUnit val="50"/>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[SpawningSeason_GSI_Assessment_Tool.xlsm]Species 1-Spawning Season!PivotTable2</c:name>
    <c:fmtId val="0"/>
  </c:pivotSource>
  <c:chart>
    <c:title>
      <c:tx>
        <c:rich>
          <a:bodyPr/>
          <a:lstStyle/>
          <a:p>
            <a:pPr>
              <a:defRPr/>
            </a:pPr>
            <a:r>
              <a:rPr lang="en-US"/>
              <a:t>Spawning</a:t>
            </a:r>
            <a:r>
              <a:rPr lang="en-US" baseline="0"/>
              <a:t> Season</a:t>
            </a:r>
            <a:endParaRPr lang="en-US"/>
          </a:p>
        </c:rich>
      </c:tx>
      <c:layout/>
      <c:overlay val="0"/>
    </c:title>
    <c:autoTitleDeleted val="0"/>
    <c:pivotFmts>
      <c:pivotFmt>
        <c:idx val="0"/>
        <c:marker>
          <c:symbol val="none"/>
        </c:marker>
      </c:pivotFmt>
    </c:pivotFmts>
    <c:plotArea>
      <c:layout/>
      <c:barChart>
        <c:barDir val="col"/>
        <c:grouping val="clustered"/>
        <c:varyColors val="0"/>
        <c:ser>
          <c:idx val="0"/>
          <c:order val="0"/>
          <c:tx>
            <c:strRef>
              <c:f>'Species 1-Spawning Season'!$Q$8</c:f>
              <c:strCache>
                <c:ptCount val="1"/>
                <c:pt idx="0">
                  <c:v>Total</c:v>
                </c:pt>
              </c:strCache>
            </c:strRef>
          </c:tx>
          <c:invertIfNegative val="0"/>
          <c:cat>
            <c:strRef>
              <c:f>'Species 1-Spawning Season'!$P$9:$P$21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'Species 1-Spawning Season'!$Q$9:$Q$21</c:f>
              <c:numCache>
                <c:formatCode>General</c:formatCode>
                <c:ptCount val="12"/>
                <c:pt idx="0">
                  <c:v>0.43238993710691825</c:v>
                </c:pt>
                <c:pt idx="1">
                  <c:v>4.875998318621269</c:v>
                </c:pt>
                <c:pt idx="2">
                  <c:v>5.285323225942304</c:v>
                </c:pt>
                <c:pt idx="3">
                  <c:v>5.7753331922995557</c:v>
                </c:pt>
                <c:pt idx="4">
                  <c:v>2.5010250102501024</c:v>
                </c:pt>
                <c:pt idx="5">
                  <c:v>0.44194455604660504</c:v>
                </c:pt>
                <c:pt idx="6">
                  <c:v>0.44194455604660504</c:v>
                </c:pt>
                <c:pt idx="7">
                  <c:v>0.44194455604660504</c:v>
                </c:pt>
                <c:pt idx="8">
                  <c:v>0.44194455604660504</c:v>
                </c:pt>
                <c:pt idx="9">
                  <c:v>0.44194455604660504</c:v>
                </c:pt>
                <c:pt idx="10">
                  <c:v>0.44194455604660504</c:v>
                </c:pt>
                <c:pt idx="11">
                  <c:v>0.44194455604660504</c:v>
                </c:pt>
              </c:numCache>
            </c:numRef>
          </c:val>
        </c:ser>
        <c:dLbls>
          <c:showLegendKey val="0"/>
          <c:showVal val="0"/>
          <c:showCatName val="0"/>
          <c:showSerName val="0"/>
          <c:showPercent val="0"/>
          <c:showBubbleSize val="0"/>
        </c:dLbls>
        <c:gapWidth val="150"/>
        <c:axId val="236350848"/>
        <c:axId val="237380736"/>
      </c:barChart>
      <c:catAx>
        <c:axId val="236350848"/>
        <c:scaling>
          <c:orientation val="minMax"/>
        </c:scaling>
        <c:delete val="0"/>
        <c:axPos val="b"/>
        <c:majorTickMark val="out"/>
        <c:minorTickMark val="none"/>
        <c:tickLblPos val="nextTo"/>
        <c:crossAx val="237380736"/>
        <c:crosses val="autoZero"/>
        <c:auto val="1"/>
        <c:lblAlgn val="ctr"/>
        <c:lblOffset val="100"/>
        <c:noMultiLvlLbl val="0"/>
      </c:catAx>
      <c:valAx>
        <c:axId val="237380736"/>
        <c:scaling>
          <c:orientation val="minMax"/>
        </c:scaling>
        <c:delete val="0"/>
        <c:axPos val="l"/>
        <c:majorGridlines/>
        <c:numFmt formatCode="General" sourceLinked="1"/>
        <c:majorTickMark val="out"/>
        <c:minorTickMark val="none"/>
        <c:tickLblPos val="nextTo"/>
        <c:crossAx val="236350848"/>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[SpawningSeason_GSI_Assessment_Tool.xlsm]Species 1-Anahulu!Anahulu</c:name>
    <c:fmtId val="0"/>
  </c:pivotSource>
  <c:chart>
    <c:title>
      <c:tx>
        <c:rich>
          <a:bodyPr/>
          <a:lstStyle/>
          <a:p>
            <a:pPr>
              <a:defRPr/>
            </a:pPr>
            <a:r>
              <a:rPr lang="en-US"/>
              <a:t>Species</a:t>
            </a:r>
            <a:r>
              <a:rPr lang="en-US" baseline="0"/>
              <a:t> 1 Average GSI by Anahulu</a:t>
            </a:r>
            <a:endParaRPr lang="en-US"/>
          </a:p>
        </c:rich>
      </c:tx>
      <c:layout/>
      <c:overlay val="0"/>
    </c:title>
    <c:autoTitleDeleted val="0"/>
    <c:pivotFmts>
      <c:pivotFmt>
        <c:idx val="0"/>
        <c:marker>
          <c:symbol val="none"/>
        </c:marker>
      </c:pivotFmt>
    </c:pivotFmts>
    <c:plotArea>
      <c:layout/>
      <c:barChart>
        <c:barDir val="col"/>
        <c:grouping val="clustered"/>
        <c:varyColors val="0"/>
        <c:ser>
          <c:idx val="0"/>
          <c:order val="0"/>
          <c:tx>
            <c:strRef>
              <c:f>'Species 1-Anahulu'!$B$12</c:f>
              <c:strCache>
                <c:ptCount val="1"/>
                <c:pt idx="0">
                  <c:v>Total</c:v>
                </c:pt>
              </c:strCache>
            </c:strRef>
          </c:tx>
          <c:invertIfNegative val="0"/>
          <c:cat>
            <c:strRef>
              <c:f>'Species 1-Anahulu'!$A$13:$A$16</c:f>
              <c:strCache>
                <c:ptCount val="3"/>
                <c:pt idx="0">
                  <c:v>Emi</c:v>
                </c:pt>
                <c:pt idx="1">
                  <c:v>Ho'onui</c:v>
                </c:pt>
                <c:pt idx="2">
                  <c:v>Poepoe</c:v>
                </c:pt>
              </c:strCache>
            </c:strRef>
          </c:cat>
          <c:val>
            <c:numRef>
              <c:f>'Species 1-Anahulu'!$B$13:$B$16</c:f>
              <c:numCache>
                <c:formatCode>0.0</c:formatCode>
                <c:ptCount val="3"/>
                <c:pt idx="0">
                  <c:v>0.43637874335491683</c:v>
                </c:pt>
                <c:pt idx="1">
                  <c:v>1.931766557094758</c:v>
                </c:pt>
                <c:pt idx="2">
                  <c:v>0.41931579858043438</c:v>
                </c:pt>
              </c:numCache>
            </c:numRef>
          </c:val>
        </c:ser>
        <c:dLbls>
          <c:showLegendKey val="0"/>
          <c:showVal val="0"/>
          <c:showCatName val="0"/>
          <c:showSerName val="0"/>
          <c:showPercent val="0"/>
          <c:showBubbleSize val="0"/>
        </c:dLbls>
        <c:gapWidth val="150"/>
        <c:axId val="237517440"/>
        <c:axId val="237552000"/>
      </c:barChart>
      <c:catAx>
        <c:axId val="237517440"/>
        <c:scaling>
          <c:orientation val="minMax"/>
        </c:scaling>
        <c:delete val="0"/>
        <c:axPos val="b"/>
        <c:majorTickMark val="out"/>
        <c:minorTickMark val="none"/>
        <c:tickLblPos val="nextTo"/>
        <c:crossAx val="237552000"/>
        <c:crosses val="autoZero"/>
        <c:auto val="1"/>
        <c:lblAlgn val="ctr"/>
        <c:lblOffset val="100"/>
        <c:noMultiLvlLbl val="0"/>
      </c:catAx>
      <c:valAx>
        <c:axId val="237552000"/>
        <c:scaling>
          <c:orientation val="minMax"/>
        </c:scaling>
        <c:delete val="0"/>
        <c:axPos val="l"/>
        <c:majorGridlines/>
        <c:title>
          <c:tx>
            <c:rich>
              <a:bodyPr rot="-5400000" vert="horz"/>
              <a:lstStyle/>
              <a:p>
                <a:pPr>
                  <a:defRPr/>
                </a:pPr>
                <a:r>
                  <a:rPr lang="en-US"/>
                  <a:t>GSI</a:t>
                </a:r>
              </a:p>
            </c:rich>
          </c:tx>
          <c:layout/>
          <c:overlay val="0"/>
        </c:title>
        <c:numFmt formatCode="0.0" sourceLinked="1"/>
        <c:majorTickMark val="out"/>
        <c:minorTickMark val="none"/>
        <c:tickLblPos val="nextTo"/>
        <c:crossAx val="23751744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200026</xdr:colOff>
      <xdr:row>45</xdr:row>
      <xdr:rowOff>0</xdr:rowOff>
    </xdr:from>
    <xdr:to>
      <xdr:col>12</xdr:col>
      <xdr:colOff>428625</xdr:colOff>
      <xdr:row>66</xdr:row>
      <xdr:rowOff>85725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133350</xdr:colOff>
      <xdr:row>27</xdr:row>
      <xdr:rowOff>180975</xdr:rowOff>
    </xdr:from>
    <xdr:to>
      <xdr:col>11</xdr:col>
      <xdr:colOff>361950</xdr:colOff>
      <xdr:row>41</xdr:row>
      <xdr:rowOff>123825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457200</xdr:colOff>
      <xdr:row>33</xdr:row>
      <xdr:rowOff>76200</xdr:rowOff>
    </xdr:from>
    <xdr:to>
      <xdr:col>12</xdr:col>
      <xdr:colOff>864108</xdr:colOff>
      <xdr:row>35</xdr:row>
      <xdr:rowOff>160782</xdr:rowOff>
    </xdr:to>
    <xdr:sp macro="" textlink="">
      <xdr:nvSpPr>
        <xdr:cNvPr id="15" name="Left Arrow 14"/>
        <xdr:cNvSpPr/>
      </xdr:nvSpPr>
      <xdr:spPr>
        <a:xfrm>
          <a:off x="13563600" y="7943850"/>
          <a:ext cx="1245108" cy="48463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609599</xdr:colOff>
      <xdr:row>29</xdr:row>
      <xdr:rowOff>66675</xdr:rowOff>
    </xdr:from>
    <xdr:ext cx="4371975" cy="695326"/>
    <xdr:sp macro="" textlink="">
      <xdr:nvSpPr>
        <xdr:cNvPr id="16" name="TextBox 15"/>
        <xdr:cNvSpPr txBox="1"/>
      </xdr:nvSpPr>
      <xdr:spPr>
        <a:xfrm>
          <a:off x="13715999" y="7134225"/>
          <a:ext cx="4371975" cy="695326"/>
        </a:xfrm>
        <a:prstGeom prst="rect">
          <a:avLst/>
        </a:prstGeom>
        <a:solidFill>
          <a:sysClr val="window" lastClr="FFFFFF"/>
        </a:solidFill>
        <a:ln w="22225">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aseline="0">
              <a:latin typeface="Arial" panose="020B0604020202020204" pitchFamily="34" charset="0"/>
              <a:cs typeface="Arial" panose="020B0604020202020204" pitchFamily="34" charset="0"/>
            </a:rPr>
            <a:t>The 50% line is used to identify the sizes of fish that are above the L50 or size at which 50% of the population is mature. Set target fish size above the 50% line. </a:t>
          </a:r>
          <a:endParaRPr lang="en-US" sz="1200">
            <a:latin typeface="Arial" panose="020B0604020202020204" pitchFamily="34" charset="0"/>
            <a:cs typeface="Arial" panose="020B0604020202020204" pitchFamily="34" charset="0"/>
          </a:endParaRPr>
        </a:p>
      </xdr:txBody>
    </xdr:sp>
    <xdr:clientData/>
  </xdr:oneCellAnchor>
  <xdr:twoCellAnchor>
    <xdr:from>
      <xdr:col>10</xdr:col>
      <xdr:colOff>1856615</xdr:colOff>
      <xdr:row>55</xdr:row>
      <xdr:rowOff>47625</xdr:rowOff>
    </xdr:from>
    <xdr:to>
      <xdr:col>10</xdr:col>
      <xdr:colOff>2104270</xdr:colOff>
      <xdr:row>58</xdr:row>
      <xdr:rowOff>83820</xdr:rowOff>
    </xdr:to>
    <xdr:sp macro="" textlink="">
      <xdr:nvSpPr>
        <xdr:cNvPr id="17" name="Left Arrow 16"/>
        <xdr:cNvSpPr/>
      </xdr:nvSpPr>
      <xdr:spPr>
        <a:xfrm rot="16200000">
          <a:off x="11301608" y="12510132"/>
          <a:ext cx="636270" cy="24765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866775</xdr:colOff>
      <xdr:row>47</xdr:row>
      <xdr:rowOff>180974</xdr:rowOff>
    </xdr:from>
    <xdr:ext cx="2085975" cy="1343025"/>
    <xdr:sp macro="" textlink="">
      <xdr:nvSpPr>
        <xdr:cNvPr id="18" name="TextBox 17"/>
        <xdr:cNvSpPr txBox="1"/>
      </xdr:nvSpPr>
      <xdr:spPr>
        <a:xfrm>
          <a:off x="9629775" y="10848974"/>
          <a:ext cx="2085975" cy="1343025"/>
        </a:xfrm>
        <a:prstGeom prst="rect">
          <a:avLst/>
        </a:prstGeom>
        <a:solidFill>
          <a:sysClr val="window" lastClr="FFFFFF"/>
        </a:solidFill>
        <a:ln w="22225">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Arial" panose="020B0604020202020204" pitchFamily="34" charset="0"/>
              <a:cs typeface="Arial" panose="020B0604020202020204" pitchFamily="34" charset="0"/>
            </a:rPr>
            <a:t>Plot of GSI</a:t>
          </a:r>
          <a:r>
            <a:rPr lang="en-US" sz="1200" baseline="0">
              <a:latin typeface="Arial" panose="020B0604020202020204" pitchFamily="34" charset="0"/>
              <a:cs typeface="Arial" panose="020B0604020202020204" pitchFamily="34" charset="0"/>
            </a:rPr>
            <a:t> verus fork length to see where there is variability in GSI. This is a rough estimate of size at maturity and is 14-14.5 cm in fhis case.</a:t>
          </a:r>
          <a:endParaRPr lang="en-US" sz="120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8</xdr:col>
      <xdr:colOff>66675</xdr:colOff>
      <xdr:row>0</xdr:row>
      <xdr:rowOff>77591</xdr:rowOff>
    </xdr:from>
    <xdr:to>
      <xdr:col>11</xdr:col>
      <xdr:colOff>323850</xdr:colOff>
      <xdr:row>11</xdr:row>
      <xdr:rowOff>68245</xdr:rowOff>
    </xdr:to>
    <xdr:pic>
      <xdr:nvPicPr>
        <xdr:cNvPr id="7170"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38925" y="77591"/>
          <a:ext cx="5629275" cy="29529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9525</xdr:colOff>
      <xdr:row>9</xdr:row>
      <xdr:rowOff>38100</xdr:rowOff>
    </xdr:from>
    <xdr:ext cx="3190875" cy="742950"/>
    <xdr:sp macro="" textlink="">
      <xdr:nvSpPr>
        <xdr:cNvPr id="3" name="TextBox 2"/>
        <xdr:cNvSpPr txBox="1"/>
      </xdr:nvSpPr>
      <xdr:spPr>
        <a:xfrm>
          <a:off x="3448050" y="2352675"/>
          <a:ext cx="3190875" cy="742950"/>
        </a:xfrm>
        <a:prstGeom prst="rect">
          <a:avLst/>
        </a:prstGeom>
        <a:solidFill>
          <a:sysClr val="window" lastClr="FFFFFF"/>
        </a:solidFill>
        <a:ln w="22225">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Arial" panose="020B0604020202020204" pitchFamily="34" charset="0"/>
              <a:cs typeface="Arial" panose="020B0604020202020204" pitchFamily="34" charset="0"/>
            </a:rPr>
            <a:t>Replace</a:t>
          </a:r>
          <a:r>
            <a:rPr lang="en-US" sz="1200" baseline="0">
              <a:latin typeface="Arial" panose="020B0604020202020204" pitchFamily="34" charset="0"/>
              <a:cs typeface="Arial" panose="020B0604020202020204" pitchFamily="34" charset="0"/>
            </a:rPr>
            <a:t> "Species 1" with the fish species your are assessing spawning seasons for (aholehole, manini, ulua...)</a:t>
          </a:r>
          <a:endParaRPr lang="en-US" sz="1200">
            <a:latin typeface="Arial" panose="020B0604020202020204" pitchFamily="34" charset="0"/>
            <a:cs typeface="Arial" panose="020B0604020202020204" pitchFamily="34" charset="0"/>
          </a:endParaRP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9</xdr:col>
      <xdr:colOff>209550</xdr:colOff>
      <xdr:row>12</xdr:row>
      <xdr:rowOff>85725</xdr:rowOff>
    </xdr:from>
    <xdr:to>
      <xdr:col>10</xdr:col>
      <xdr:colOff>581025</xdr:colOff>
      <xdr:row>14</xdr:row>
      <xdr:rowOff>141732</xdr:rowOff>
    </xdr:to>
    <xdr:sp macro="" textlink="">
      <xdr:nvSpPr>
        <xdr:cNvPr id="5" name="Left Arrow 4"/>
        <xdr:cNvSpPr/>
      </xdr:nvSpPr>
      <xdr:spPr>
        <a:xfrm>
          <a:off x="8391525" y="2466975"/>
          <a:ext cx="981075" cy="456057"/>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xdr:col>
          <xdr:colOff>9525</xdr:colOff>
          <xdr:row>4</xdr:row>
          <xdr:rowOff>161925</xdr:rowOff>
        </xdr:from>
        <xdr:to>
          <xdr:col>5</xdr:col>
          <xdr:colOff>371475</xdr:colOff>
          <xdr:row>6</xdr:row>
          <xdr:rowOff>57150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a:t>
              </a:r>
            </a:p>
          </xdr:txBody>
        </xdr:sp>
        <xdr:clientData fPrintsWithSheet="0"/>
      </xdr:twoCellAnchor>
    </mc:Choice>
    <mc:Fallback/>
  </mc:AlternateContent>
  <xdr:twoCellAnchor>
    <xdr:from>
      <xdr:col>3</xdr:col>
      <xdr:colOff>423861</xdr:colOff>
      <xdr:row>7</xdr:row>
      <xdr:rowOff>142874</xdr:rowOff>
    </xdr:from>
    <xdr:to>
      <xdr:col>14</xdr:col>
      <xdr:colOff>9524</xdr:colOff>
      <xdr:row>22</xdr:row>
      <xdr:rowOff>185737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504825</xdr:colOff>
      <xdr:row>15</xdr:row>
      <xdr:rowOff>28575</xdr:rowOff>
    </xdr:from>
    <xdr:to>
      <xdr:col>11</xdr:col>
      <xdr:colOff>530733</xdr:colOff>
      <xdr:row>17</xdr:row>
      <xdr:rowOff>113157</xdr:rowOff>
    </xdr:to>
    <xdr:sp macro="" textlink="">
      <xdr:nvSpPr>
        <xdr:cNvPr id="3" name="Left Arrow 2"/>
        <xdr:cNvSpPr/>
      </xdr:nvSpPr>
      <xdr:spPr>
        <a:xfrm>
          <a:off x="9191625" y="3009900"/>
          <a:ext cx="1245108" cy="484632"/>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8</xdr:col>
      <xdr:colOff>542925</xdr:colOff>
      <xdr:row>12</xdr:row>
      <xdr:rowOff>123825</xdr:rowOff>
    </xdr:from>
    <xdr:ext cx="3105150" cy="400050"/>
    <xdr:sp macro="" textlink="">
      <xdr:nvSpPr>
        <xdr:cNvPr id="6" name="TextBox 5"/>
        <xdr:cNvSpPr txBox="1"/>
      </xdr:nvSpPr>
      <xdr:spPr>
        <a:xfrm>
          <a:off x="8620125" y="2505075"/>
          <a:ext cx="3105150" cy="400050"/>
        </a:xfrm>
        <a:prstGeom prst="rect">
          <a:avLst/>
        </a:prstGeom>
        <a:solidFill>
          <a:sysClr val="window" lastClr="FFFFFF"/>
        </a:solidFill>
        <a:ln w="22225">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Arial" panose="020B0604020202020204" pitchFamily="34" charset="0"/>
              <a:cs typeface="Arial" panose="020B0604020202020204" pitchFamily="34" charset="0"/>
            </a:rPr>
            <a:t>The peaks</a:t>
          </a:r>
          <a:r>
            <a:rPr lang="en-US" sz="1200" baseline="0">
              <a:latin typeface="Arial" panose="020B0604020202020204" pitchFamily="34" charset="0"/>
              <a:cs typeface="Arial" panose="020B0604020202020204" pitchFamily="34" charset="0"/>
            </a:rPr>
            <a:t> in GSI are the spawning season for the current year.</a:t>
          </a:r>
          <a:endParaRPr lang="en-US" sz="1200">
            <a:latin typeface="Arial" panose="020B0604020202020204" pitchFamily="34" charset="0"/>
            <a:cs typeface="Arial" panose="020B0604020202020204" pitchFamily="34" charset="0"/>
          </a:endParaRPr>
        </a:p>
      </xdr:txBody>
    </xdr:sp>
    <xdr:clientData/>
  </xdr:oneCellAnchor>
  <xdr:oneCellAnchor>
    <xdr:from>
      <xdr:col>12</xdr:col>
      <xdr:colOff>66675</xdr:colOff>
      <xdr:row>1</xdr:row>
      <xdr:rowOff>28575</xdr:rowOff>
    </xdr:from>
    <xdr:ext cx="3190875" cy="742950"/>
    <xdr:sp macro="" textlink="">
      <xdr:nvSpPr>
        <xdr:cNvPr id="11" name="TextBox 10"/>
        <xdr:cNvSpPr txBox="1"/>
      </xdr:nvSpPr>
      <xdr:spPr>
        <a:xfrm>
          <a:off x="10582275" y="219075"/>
          <a:ext cx="3190875" cy="742950"/>
        </a:xfrm>
        <a:prstGeom prst="rect">
          <a:avLst/>
        </a:prstGeom>
        <a:solidFill>
          <a:sysClr val="window" lastClr="FFFFFF"/>
        </a:solidFill>
        <a:ln w="22225">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Arial" panose="020B0604020202020204" pitchFamily="34" charset="0"/>
              <a:cs typeface="Arial" panose="020B0604020202020204" pitchFamily="34" charset="0"/>
            </a:rPr>
            <a:t>Replace</a:t>
          </a:r>
          <a:r>
            <a:rPr lang="en-US" sz="1200" baseline="0">
              <a:latin typeface="Arial" panose="020B0604020202020204" pitchFamily="34" charset="0"/>
              <a:cs typeface="Arial" panose="020B0604020202020204" pitchFamily="34" charset="0"/>
            </a:rPr>
            <a:t> "Species 1" with the fish species your are assessing spawning seasons for (aholehole, manini, ulua...)</a:t>
          </a:r>
          <a:endParaRPr lang="en-US" sz="1200">
            <a:latin typeface="Arial" panose="020B0604020202020204" pitchFamily="34" charset="0"/>
            <a:cs typeface="Arial" panose="020B0604020202020204" pitchFamily="34" charset="0"/>
          </a:endParaRP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3</xdr:col>
      <xdr:colOff>514350</xdr:colOff>
      <xdr:row>9</xdr:row>
      <xdr:rowOff>85725</xdr:rowOff>
    </xdr:from>
    <xdr:to>
      <xdr:col>11</xdr:col>
      <xdr:colOff>209550</xdr:colOff>
      <xdr:row>23</xdr:row>
      <xdr:rowOff>114300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457200</xdr:colOff>
      <xdr:row>14</xdr:row>
      <xdr:rowOff>38100</xdr:rowOff>
    </xdr:from>
    <xdr:to>
      <xdr:col>11</xdr:col>
      <xdr:colOff>219075</xdr:colOff>
      <xdr:row>16</xdr:row>
      <xdr:rowOff>151257</xdr:rowOff>
    </xdr:to>
    <xdr:sp macro="" textlink="">
      <xdr:nvSpPr>
        <xdr:cNvPr id="3" name="Left Arrow 2"/>
        <xdr:cNvSpPr/>
      </xdr:nvSpPr>
      <xdr:spPr>
        <a:xfrm>
          <a:off x="8763000" y="3133725"/>
          <a:ext cx="981075" cy="494157"/>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400050</xdr:colOff>
      <xdr:row>13</xdr:row>
      <xdr:rowOff>28574</xdr:rowOff>
    </xdr:from>
    <xdr:ext cx="3105150" cy="866775"/>
    <xdr:sp macro="" textlink="">
      <xdr:nvSpPr>
        <xdr:cNvPr id="4" name="TextBox 3"/>
        <xdr:cNvSpPr txBox="1"/>
      </xdr:nvSpPr>
      <xdr:spPr>
        <a:xfrm>
          <a:off x="10287000" y="2552699"/>
          <a:ext cx="3105150" cy="866775"/>
        </a:xfrm>
        <a:prstGeom prst="rect">
          <a:avLst/>
        </a:prstGeom>
        <a:solidFill>
          <a:sysClr val="window" lastClr="FFFFFF"/>
        </a:solidFill>
        <a:ln w="22225">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Arial" panose="020B0604020202020204" pitchFamily="34" charset="0"/>
              <a:cs typeface="Arial" panose="020B0604020202020204" pitchFamily="34" charset="0"/>
            </a:rPr>
            <a:t>The peaks</a:t>
          </a:r>
          <a:r>
            <a:rPr lang="en-US" sz="1200" baseline="0">
              <a:latin typeface="Arial" panose="020B0604020202020204" pitchFamily="34" charset="0"/>
              <a:cs typeface="Arial" panose="020B0604020202020204" pitchFamily="34" charset="0"/>
            </a:rPr>
            <a:t> in GSI are the anahulu when peak spawning occurs.</a:t>
          </a:r>
          <a:endParaRPr lang="en-US" sz="1200">
            <a:latin typeface="Arial" panose="020B0604020202020204" pitchFamily="34" charset="0"/>
            <a:cs typeface="Arial" panose="020B0604020202020204" pitchFamily="34" charset="0"/>
          </a:endParaRPr>
        </a:p>
      </xdr:txBody>
    </xdr:sp>
    <xdr:clientData/>
  </xdr:oneCellAnchor>
  <xdr:oneCellAnchor>
    <xdr:from>
      <xdr:col>7</xdr:col>
      <xdr:colOff>200025</xdr:colOff>
      <xdr:row>2</xdr:row>
      <xdr:rowOff>161925</xdr:rowOff>
    </xdr:from>
    <xdr:ext cx="3190875" cy="742950"/>
    <xdr:sp macro="" textlink="">
      <xdr:nvSpPr>
        <xdr:cNvPr id="5" name="TextBox 4"/>
        <xdr:cNvSpPr txBox="1"/>
      </xdr:nvSpPr>
      <xdr:spPr>
        <a:xfrm>
          <a:off x="7648575" y="542925"/>
          <a:ext cx="3190875" cy="742950"/>
        </a:xfrm>
        <a:prstGeom prst="rect">
          <a:avLst/>
        </a:prstGeom>
        <a:solidFill>
          <a:sysClr val="window" lastClr="FFFFFF"/>
        </a:solidFill>
        <a:ln w="22225">
          <a:solidFill>
            <a:srgbClr val="0070C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latin typeface="Arial" panose="020B0604020202020204" pitchFamily="34" charset="0"/>
              <a:cs typeface="Arial" panose="020B0604020202020204" pitchFamily="34" charset="0"/>
            </a:rPr>
            <a:t>Replace</a:t>
          </a:r>
          <a:r>
            <a:rPr lang="en-US" sz="1200" baseline="0">
              <a:latin typeface="Arial" panose="020B0604020202020204" pitchFamily="34" charset="0"/>
              <a:cs typeface="Arial" panose="020B0604020202020204" pitchFamily="34" charset="0"/>
            </a:rPr>
            <a:t> "Species 1" with the fish your are assessing spawning seasons for (aholehole, manini, ulua...)</a:t>
          </a:r>
          <a:endParaRPr lang="en-US" sz="1200">
            <a:latin typeface="Arial" panose="020B0604020202020204" pitchFamily="34" charset="0"/>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xdr:from>
          <xdr:col>1</xdr:col>
          <xdr:colOff>123825</xdr:colOff>
          <xdr:row>7</xdr:row>
          <xdr:rowOff>123825</xdr:rowOff>
        </xdr:from>
        <xdr:to>
          <xdr:col>1</xdr:col>
          <xdr:colOff>4019550</xdr:colOff>
          <xdr:row>9</xdr:row>
          <xdr:rowOff>161925</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SpawningSeason_Community_Tool_blank.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Eva Schemmel" refreshedDate="42452.375689583336" createdVersion="4" refreshedVersion="4" minRefreshableVersion="3" recordCount="100">
  <cacheSource type="worksheet">
    <worksheetSource ref="A12:F112" sheet="Species 1 - Size at maturity" r:id="rId2"/>
  </cacheSource>
  <cacheFields count="6">
    <cacheField name="Fish" numFmtId="0">
      <sharedItems containsSemiMixedTypes="0" containsString="0" containsNumber="1" containsInteger="1" minValue="1" maxValue="100"/>
    </cacheField>
    <cacheField name="Fork Length (cm)" numFmtId="0">
      <sharedItems containsSemiMixedTypes="0" containsString="0" containsNumber="1" minValue="9.5" maxValue="22.2" count="58">
        <n v="13.5"/>
        <n v="14.4"/>
        <n v="14.5"/>
        <n v="13.3"/>
        <n v="11.7"/>
        <n v="11.6"/>
        <n v="11.9"/>
        <n v="14.2"/>
        <n v="9.5"/>
        <n v="13"/>
        <n v="11.5"/>
        <n v="12.4"/>
        <n v="16.5"/>
        <n v="15"/>
        <n v="14.1"/>
        <n v="15.5"/>
        <n v="17.399999999999999"/>
        <n v="19.2"/>
        <n v="17.5"/>
        <n v="21"/>
        <n v="16.8"/>
        <n v="17.600000000000001"/>
        <n v="18.8"/>
        <n v="14.9"/>
        <n v="20.6"/>
        <n v="16"/>
        <n v="17.899999999999999"/>
        <n v="18.100000000000001"/>
        <n v="15.7"/>
        <n v="17.8"/>
        <n v="20.8"/>
        <n v="18.899999999999999"/>
        <n v="18"/>
        <n v="16.7"/>
        <n v="22.2"/>
        <n v="18.3"/>
        <n v="15.4"/>
        <n v="14"/>
        <n v="17"/>
        <n v="14.8"/>
        <n v="15.8"/>
        <n v="16.100000000000001"/>
        <n v="14.7"/>
        <n v="19.5"/>
        <n v="16.399999999999999"/>
        <n v="15.1"/>
        <n v="17.3"/>
        <n v="15.3"/>
        <n v="18.399999999999999"/>
        <n v="13.8"/>
        <n v="15.9"/>
        <n v="18.600000000000001"/>
        <n v="12.7"/>
        <n v="20.3"/>
        <n v="16.899999999999999"/>
        <n v="20.399999999999999"/>
        <n v="17.2"/>
        <n v="15.2"/>
      </sharedItems>
      <fieldGroup base="1">
        <rangePr autoStart="0" autoEnd="0" startNum="9" endNum="23"/>
        <groupItems count="16">
          <s v="&lt;9"/>
          <s v="9-10"/>
          <s v="10-11"/>
          <s v="11-12"/>
          <s v="12-13"/>
          <s v="13-14"/>
          <s v="14-15"/>
          <s v="15-16"/>
          <s v="16-17"/>
          <s v="17-18"/>
          <s v="18-19"/>
          <s v="19-20"/>
          <s v="20-21"/>
          <s v="21-22"/>
          <s v="22-23"/>
          <s v="&gt;23"/>
        </groupItems>
      </fieldGroup>
    </cacheField>
    <cacheField name="Fish Weight (grams)" numFmtId="0">
      <sharedItems containsSemiMixedTypes="0" containsString="0" containsNumber="1" minValue="22.47" maxValue="279"/>
    </cacheField>
    <cacheField name="Gonad Weight (grams)" numFmtId="0">
      <sharedItems containsSemiMixedTypes="0" containsString="0" containsNumber="1" minValue="0.01" maxValue="29.43"/>
    </cacheField>
    <cacheField name="Somatic Weight (Fish weight with gonads removed)" numFmtId="0">
      <sharedItems containsSemiMixedTypes="0" containsString="0" containsNumber="1" minValue="21.98" maxValue="265.19"/>
    </cacheField>
    <cacheField name="GSI (somatic/gonad weight*100)" numFmtId="0">
      <sharedItems containsSemiMixedTypes="0" containsString="0" containsNumber="1" minValue="2.4044241404183698E-2" maxValue="21.272147023219983" count="100">
        <n v="0.24621878297572986"/>
        <n v="3.6124155945202428E-2"/>
        <n v="0.33898305084745761"/>
        <n v="0.45662100456621002"/>
        <n v="0.30864197530864196"/>
        <n v="0.27247956403269757"/>
        <n v="0.14548981571290009"/>
        <n v="0.1631730889920924"/>
        <n v="0.17421602787456447"/>
        <n v="0.19335559852346634"/>
        <n v="7.8905839032088379E-2"/>
        <n v="2.4044241404183698E-2"/>
        <n v="0.23676280671545416"/>
        <n v="0.17488250081976173"/>
        <n v="0.22053418279833376"/>
        <n v="1.2663185378590078"/>
        <n v="0.27322404371584702"/>
        <n v="3.8390153365243727"/>
        <n v="4.0730781398291684"/>
        <n v="3.2469381942466535"/>
        <n v="4.3829296424452133"/>
        <n v="1.2253596164091634"/>
        <n v="3.5690336040533488"/>
        <n v="0.44313146233382572"/>
        <n v="0.22836843440751081"/>
        <n v="11.964171465131159"/>
        <n v="16.709892552797331"/>
        <n v="19.471653309587413"/>
        <n v="2.0913186739291239"/>
        <n v="2.7731017985292814"/>
        <n v="1.6138673042438731"/>
        <n v="5.6897647806738716"/>
        <n v="6.7675493905002106"/>
        <n v="8.8390501319261201"/>
        <n v="5.3046750615139677"/>
        <n v="18.183323673097625"/>
        <n v="15.082766775051731"/>
        <n v="10.94581191957443"/>
        <n v="13.324175824175827"/>
        <n v="11.446224735574404"/>
        <n v="2.6471864602922035"/>
        <n v="2.3821498788349871"/>
        <n v="2.1105266575751669"/>
        <n v="1.8312818973281293"/>
        <n v="2.4585965511353933"/>
        <n v="3.1048135028130863"/>
        <n v="5.2075870130849582"/>
        <n v="4.093938432243732"/>
        <n v="4.4240733359904336"/>
        <n v="2.6940517471325682"/>
        <n v="3.1502648452746032"/>
        <n v="2.4007281829559677"/>
        <n v="2.8638223261250735"/>
        <n v="0.75187969924812026"/>
        <n v="5.7444984281223208"/>
        <n v="4.7184920537144261"/>
        <n v="0.37281330656724981"/>
        <n v="2.5695252194141909"/>
        <n v="2.8773509082141135"/>
        <n v="1.6111314536799708"/>
        <n v="0.55248618784530379"/>
        <n v="1.0230179028132993"/>
        <n v="1.610761503377403"/>
        <n v="1.4121884181594162"/>
        <n v="0.32965457933209119"/>
        <n v="0.52656773575873628"/>
        <n v="8.9987325728770582"/>
        <n v="2.6441424899008448"/>
        <n v="6.8021406965019793"/>
        <n v="0.79802394071822147"/>
        <n v="0.36476179949154419"/>
        <n v="0.50933786078098464"/>
        <n v="0.85031886957609104"/>
        <n v="3.1029512176617859"/>
        <n v="1.1037527593818985"/>
        <n v="4.4271713416694833"/>
        <n v="0.65170166545981179"/>
        <n v="2.5800435188063418"/>
        <n v="1.5421372719374458"/>
        <n v="5.9770114942528734"/>
        <n v="3.0502012285532722"/>
        <n v="7.5746683223318749"/>
        <n v="2.2292993630573248"/>
        <n v="1.2241054613935971"/>
        <n v="1.9467878001297858"/>
        <n v="13.792941838121573"/>
        <n v="16.327551701134087"/>
        <n v="21.272147023219983"/>
        <n v="8.8355763604447048"/>
        <n v="0.93045449123225576"/>
        <n v="0.73004675580346157"/>
        <n v="1.5912774421688523"/>
        <n v="1.0224181596473128"/>
        <n v="0.29037301764574497"/>
        <n v="0.29181385347872835"/>
        <n v="2.4600889819419001"/>
        <n v="3.4307238114628937"/>
        <n v="0.89046425175067001"/>
        <n v="9.916807774423912"/>
        <n v="12.5827814569536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Eva Schemmel" refreshedDate="42452.586025810182" createdVersion="4" refreshedVersion="4" minRefreshableVersion="3" recordCount="100">
  <cacheSource type="worksheet">
    <worksheetSource ref="A12:G112" sheet="Species 1 - Size at maturity"/>
  </cacheSource>
  <cacheFields count="7">
    <cacheField name="Fish" numFmtId="0">
      <sharedItems containsSemiMixedTypes="0" containsString="0" containsNumber="1" containsInteger="1" minValue="1" maxValue="100" count="1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sharedItems>
    </cacheField>
    <cacheField name="Fork Length (cm)" numFmtId="0">
      <sharedItems containsSemiMixedTypes="0" containsString="0" containsNumber="1" minValue="9.5" maxValue="22.2" count="58">
        <n v="13.5"/>
        <n v="14.4"/>
        <n v="14.5"/>
        <n v="13.3"/>
        <n v="11.7"/>
        <n v="11.6"/>
        <n v="11.9"/>
        <n v="14.2"/>
        <n v="9.5"/>
        <n v="13"/>
        <n v="11.5"/>
        <n v="12.4"/>
        <n v="16.5"/>
        <n v="15"/>
        <n v="14.1"/>
        <n v="15.5"/>
        <n v="17.399999999999999"/>
        <n v="19.2"/>
        <n v="17.5"/>
        <n v="21"/>
        <n v="16.8"/>
        <n v="17.600000000000001"/>
        <n v="18.8"/>
        <n v="14.9"/>
        <n v="20.6"/>
        <n v="16"/>
        <n v="17.899999999999999"/>
        <n v="18.100000000000001"/>
        <n v="15.7"/>
        <n v="17.8"/>
        <n v="20.8"/>
        <n v="18.899999999999999"/>
        <n v="18"/>
        <n v="16.7"/>
        <n v="22.2"/>
        <n v="18.3"/>
        <n v="15.4"/>
        <n v="14"/>
        <n v="17"/>
        <n v="14.8"/>
        <n v="15.8"/>
        <n v="16.100000000000001"/>
        <n v="14.7"/>
        <n v="19.5"/>
        <n v="16.399999999999999"/>
        <n v="15.1"/>
        <n v="17.3"/>
        <n v="15.3"/>
        <n v="18.399999999999999"/>
        <n v="13.8"/>
        <n v="15.9"/>
        <n v="18.600000000000001"/>
        <n v="12.7"/>
        <n v="20.3"/>
        <n v="16.899999999999999"/>
        <n v="20.399999999999999"/>
        <n v="17.2"/>
        <n v="15.2"/>
      </sharedItems>
      <fieldGroup base="1">
        <rangePr autoStart="0" autoEnd="0" startNum="9.5" endNum="22.5"/>
        <groupItems count="15">
          <s v="&lt;9.5"/>
          <s v="9.5-10.5"/>
          <s v="10.5-11.5"/>
          <s v="11.5-12.5"/>
          <s v="12.5-13.5"/>
          <s v="13.5-14.5"/>
          <s v="14.5-15.5"/>
          <s v="15.5-16.5"/>
          <s v="16.5-17.5"/>
          <s v="17.5-18.5"/>
          <s v="18.5-19.5"/>
          <s v="19.5-20.5"/>
          <s v="20.5-21.5"/>
          <s v="21.5-22.5"/>
          <s v="&gt;22.5"/>
        </groupItems>
      </fieldGroup>
    </cacheField>
    <cacheField name="Fish Weight (grams)" numFmtId="0">
      <sharedItems containsSemiMixedTypes="0" containsString="0" containsNumber="1" minValue="23" maxValue="279" count="91">
        <n v="57"/>
        <n v="72"/>
        <n v="74"/>
        <n v="55"/>
        <n v="39"/>
        <n v="36.799999999999997"/>
        <n v="41.3"/>
        <n v="79.8"/>
        <n v="23"/>
        <n v="38.049999999999997"/>
        <n v="41.6"/>
        <n v="46.57"/>
        <n v="91.65"/>
        <n v="81.8"/>
        <n v="77.569999999999993"/>
        <n v="58.72"/>
        <n v="106.3"/>
        <n v="131.59"/>
        <n v="145"/>
        <n v="181"/>
        <n v="139"/>
        <n v="102"/>
        <n v="79"/>
        <n v="245"/>
        <n v="126"/>
        <n v="161"/>
        <n v="151.82"/>
        <n v="116"/>
        <n v="85"/>
        <n v="133"/>
        <n v="127"/>
        <n v="99"/>
        <n v="145.51"/>
        <n v="142.72999999999999"/>
        <n v="155.72999999999999"/>
        <n v="123.05"/>
        <n v="148.5"/>
        <n v="106.42"/>
        <n v="141.91999999999999"/>
        <n v="223.92"/>
        <n v="157.24"/>
        <n v="135.68"/>
        <n v="120.02"/>
        <n v="98.96"/>
        <n v="279"/>
        <n v="164"/>
        <n v="131"/>
        <n v="77"/>
        <n v="111"/>
        <n v="90"/>
        <n v="88"/>
        <n v="67"/>
        <n v="70"/>
        <n v="97"/>
        <n v="128"/>
        <n v="91"/>
        <n v="176"/>
        <n v="107"/>
        <n v="84"/>
        <n v="86"/>
        <n v="111.8"/>
        <n v="137.69999999999999"/>
        <n v="106.1"/>
        <n v="90.8"/>
        <n v="59.2"/>
        <n v="161.30000000000001"/>
        <n v="135.9"/>
        <n v="114.5"/>
        <n v="92.7"/>
        <n v="69.5"/>
        <n v="93.5"/>
        <n v="184.4"/>
        <n v="97.3"/>
        <n v="164.6"/>
        <n v="52"/>
        <n v="157.1"/>
        <n v="242.8"/>
        <n v="139.5"/>
        <n v="110.2"/>
        <n v="148.80000000000001"/>
        <n v="84.61"/>
        <n v="122.8"/>
        <n v="137.9"/>
        <n v="107.7"/>
        <n v="89.8"/>
        <n v="65.3"/>
        <n v="156.6"/>
        <n v="203.2"/>
        <n v="116.7"/>
        <n v="149.30000000000001"/>
        <n v="110.5"/>
      </sharedItems>
    </cacheField>
    <cacheField name="Gonad Weight (grams)" numFmtId="0">
      <sharedItems containsSemiMixedTypes="0" containsString="0" containsNumber="1" minValue="0.01" maxValue="29.43" count="89">
        <n v="0.14000000000000001"/>
        <n v="2.5999999999999999E-2"/>
        <n v="0.25"/>
        <n v="0.12"/>
        <n v="0.1"/>
        <n v="0.06"/>
        <n v="0.13"/>
        <n v="0.04"/>
        <n v="0.11"/>
        <n v="0.03"/>
        <n v="0.01"/>
        <n v="0.16"/>
        <n v="0.18"/>
        <n v="0.97"/>
        <n v="3.93"/>
        <n v="5.15"/>
        <n v="4.5599999999999996"/>
        <n v="7.6"/>
        <n v="0.5"/>
        <n v="4.79"/>
        <n v="0.45"/>
        <n v="26.18"/>
        <n v="18.04"/>
        <n v="26.24"/>
        <n v="3.11"/>
        <n v="3.13"/>
        <n v="1.35"/>
        <n v="7.16"/>
        <n v="8.0500000000000007"/>
        <n v="8.0399999999999991"/>
        <n v="7.33"/>
        <n v="21.96"/>
        <n v="20.41"/>
        <n v="12.14"/>
        <n v="17.46"/>
        <n v="10.93"/>
        <n v="3.66"/>
        <n v="5.21"/>
        <n v="3.25"/>
        <n v="2.44"/>
        <n v="2.88"/>
        <n v="2.98"/>
        <n v="13.81"/>
        <n v="6.45"/>
        <n v="5.55"/>
        <n v="2.02"/>
        <n v="3.39"/>
        <n v="2.11"/>
        <n v="2.4500000000000002"/>
        <n v="6.03"/>
        <n v="3.83"/>
        <n v="0.26"/>
        <n v="2.4300000000000002"/>
        <n v="3.58"/>
        <n v="1.76"/>
        <n v="0.8"/>
        <n v="2.79"/>
        <n v="1.49"/>
        <n v="0.23"/>
        <n v="0.44"/>
        <n v="7.1"/>
        <n v="8.77"/>
        <n v="0.84"/>
        <n v="0.33"/>
        <n v="0.3"/>
        <n v="1.36"/>
        <n v="4.09"/>
        <n v="1.25"/>
        <n v="2.4900000000000002"/>
        <n v="1.42"/>
        <n v="10.4"/>
        <n v="11.59"/>
        <n v="0.4"/>
        <n v="1.04"/>
        <n v="3"/>
        <n v="29.43"/>
        <n v="19.579999999999998"/>
        <n v="19.329999999999998"/>
        <n v="12.08"/>
        <n v="0.78"/>
        <n v="0.89"/>
        <n v="2.16"/>
        <n v="1.0900000000000001"/>
        <n v="0.19"/>
        <n v="3.76"/>
        <n v="6.74"/>
        <n v="1.03"/>
        <n v="13.47"/>
        <n v="12.35"/>
      </sharedItems>
    </cacheField>
    <cacheField name="Somatic Weight (Fish weight with gonads removed)" numFmtId="0">
      <sharedItems containsSemiMixedTypes="0" containsString="0" containsNumber="1" minValue="22.96" maxValue="265.19"/>
    </cacheField>
    <cacheField name="GSI (somatic/gonad weight*100)" numFmtId="0">
      <sharedItems containsSemiMixedTypes="0" containsString="0" containsNumber="1" minValue="2.4044241404183698E-2" maxValue="21.272147023219983"/>
    </cacheField>
    <cacheField name="Maturity (0=immature, 1=mature)"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Eva Schemmel" refreshedDate="42611.528581828701" createdVersion="4" refreshedVersion="4" minRefreshableVersion="3" recordCount="12">
  <cacheSource type="worksheet">
    <worksheetSource ref="A9:B21" sheet="Species 1-Spawning Season"/>
  </cacheSource>
  <cacheFields count="2">
    <cacheField name="Month" numFmtId="0">
      <sharedItems count="12">
        <s v="Jan"/>
        <s v="Feb"/>
        <s v="Mar"/>
        <s v="Apr"/>
        <s v="May"/>
        <s v="Jun"/>
        <s v="Jul"/>
        <s v="Aug"/>
        <s v="Sep"/>
        <s v="Oct"/>
        <s v="Nov"/>
        <s v="Dec"/>
      </sharedItems>
    </cacheField>
    <cacheField name="Average of GSI (gonad weight/somatic weight*100)" numFmtId="0">
      <sharedItems containsSemiMixedTypes="0" containsString="0" containsNumber="1" minValue="0.43238993710691825" maxValue="5.775333192299555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Eva Schemmel" refreshedDate="42611.634045370367" createdVersion="4" refreshedVersion="4" minRefreshableVersion="3" recordCount="181">
  <cacheSource type="worksheet">
    <worksheetSource ref="A14:H1048576" sheet="Species 1-Data Entry"/>
  </cacheSource>
  <cacheFields count="8">
    <cacheField name="Month" numFmtId="0">
      <sharedItems containsBlank="1" count="13">
        <s v="Jan"/>
        <m/>
        <s v="Feb"/>
        <s v="Mar"/>
        <s v="Apr"/>
        <s v="May"/>
        <s v="Jun"/>
        <s v="Jul"/>
        <s v="Aug"/>
        <s v="Sep"/>
        <s v="Oct"/>
        <s v="Nov"/>
        <s v="Dec"/>
      </sharedItems>
    </cacheField>
    <cacheField name="Anahulu" numFmtId="0">
      <sharedItems containsBlank="1"/>
    </cacheField>
    <cacheField name="Fish" numFmtId="0">
      <sharedItems containsString="0" containsBlank="1" containsNumber="1" containsInteger="1" minValue="1" maxValue="5"/>
    </cacheField>
    <cacheField name="Date" numFmtId="0">
      <sharedItems containsNonDate="0" containsString="0" containsBlank="1"/>
    </cacheField>
    <cacheField name="Fish Weight (grams)" numFmtId="0">
      <sharedItems containsString="0" containsBlank="1" containsNumber="1" containsInteger="1" minValue="330" maxValue="686"/>
    </cacheField>
    <cacheField name="Gonad Weight (grams)" numFmtId="0">
      <sharedItems containsString="0" containsBlank="1" containsNumber="1" minValue="0.8" maxValue="36.4"/>
    </cacheField>
    <cacheField name="Somatic Weight (Fish weight - gonads)" numFmtId="0">
      <sharedItems containsString="0" containsBlank="1" containsNumber="1" minValue="309.8" maxValue="684.5"/>
    </cacheField>
    <cacheField name="GSI (gonad weight/somatic weight*100)" numFmtId="0">
      <sharedItems containsString="0" containsBlank="1" containsNumber="1" minValue="0.21913805697589481" maxValue="8.2585833591091848"/>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Eva Schemmel" refreshedDate="42611.641224884261" createdVersion="4" refreshedVersion="4" minRefreshableVersion="3" recordCount="180">
  <cacheSource type="worksheet">
    <worksheetSource ref="B14:H194" sheet="Species 1-Data Entry"/>
  </cacheSource>
  <cacheFields count="7">
    <cacheField name="Anahulu" numFmtId="0">
      <sharedItems count="3">
        <s v="Ho'onui"/>
        <s v="Poepoe"/>
        <s v="Emi"/>
      </sharedItems>
    </cacheField>
    <cacheField name="Fish" numFmtId="0">
      <sharedItems containsSemiMixedTypes="0" containsString="0" containsNumber="1" containsInteger="1" minValue="1" maxValue="5"/>
    </cacheField>
    <cacheField name="Date" numFmtId="0">
      <sharedItems containsNonDate="0" containsString="0" containsBlank="1"/>
    </cacheField>
    <cacheField name="Fish Weight (grams)" numFmtId="0">
      <sharedItems containsString="0" containsBlank="1" containsNumber="1" containsInteger="1" minValue="330" maxValue="686"/>
    </cacheField>
    <cacheField name="Gonad Weight (grams)" numFmtId="0">
      <sharedItems containsString="0" containsBlank="1" containsNumber="1" minValue="0.8" maxValue="36.4"/>
    </cacheField>
    <cacheField name="Somatic Weight (Fish weight - gonads)" numFmtId="0">
      <sharedItems containsString="0" containsBlank="1" containsNumber="1" minValue="309.8" maxValue="684.5"/>
    </cacheField>
    <cacheField name="GSI (gonad weight/somatic weight*100)" numFmtId="0">
      <sharedItems containsString="0" containsBlank="1" containsNumber="1" minValue="0.21913805697589481" maxValue="8.258583359109184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0">
  <r>
    <n v="1"/>
    <x v="0"/>
    <n v="57"/>
    <n v="0.14000000000000001"/>
    <n v="56.86"/>
    <x v="0"/>
  </r>
  <r>
    <n v="2"/>
    <x v="1"/>
    <n v="72"/>
    <n v="2.5999999999999999E-2"/>
    <n v="71.974000000000004"/>
    <x v="1"/>
  </r>
  <r>
    <n v="3"/>
    <x v="2"/>
    <n v="74"/>
    <n v="0.25"/>
    <n v="73.75"/>
    <x v="2"/>
  </r>
  <r>
    <n v="4"/>
    <x v="3"/>
    <n v="55"/>
    <n v="0.25"/>
    <n v="54.75"/>
    <x v="3"/>
  </r>
  <r>
    <n v="5"/>
    <x v="4"/>
    <n v="39"/>
    <n v="0.12"/>
    <n v="38.880000000000003"/>
    <x v="4"/>
  </r>
  <r>
    <n v="6"/>
    <x v="5"/>
    <n v="36.799999999999997"/>
    <n v="0.1"/>
    <n v="36.699999999999996"/>
    <x v="5"/>
  </r>
  <r>
    <n v="7"/>
    <x v="6"/>
    <n v="41.3"/>
    <n v="0.06"/>
    <n v="41.239999999999995"/>
    <x v="6"/>
  </r>
  <r>
    <n v="8"/>
    <x v="7"/>
    <n v="79.8"/>
    <n v="0.13"/>
    <n v="79.67"/>
    <x v="7"/>
  </r>
  <r>
    <n v="9"/>
    <x v="8"/>
    <n v="23"/>
    <n v="0.04"/>
    <n v="22.96"/>
    <x v="8"/>
  </r>
  <r>
    <n v="10"/>
    <x v="9"/>
    <n v="57"/>
    <n v="0.11"/>
    <n v="56.89"/>
    <x v="9"/>
  </r>
  <r>
    <n v="11"/>
    <x v="10"/>
    <n v="38.049999999999997"/>
    <n v="0.03"/>
    <n v="38.019999999999996"/>
    <x v="10"/>
  </r>
  <r>
    <n v="12"/>
    <x v="10"/>
    <n v="41.6"/>
    <n v="0.01"/>
    <n v="41.59"/>
    <x v="11"/>
  </r>
  <r>
    <n v="13"/>
    <x v="11"/>
    <n v="46.57"/>
    <n v="0.11"/>
    <n v="46.46"/>
    <x v="12"/>
  </r>
  <r>
    <n v="14"/>
    <x v="12"/>
    <n v="91.65"/>
    <n v="0.16"/>
    <n v="91.490000000000009"/>
    <x v="13"/>
  </r>
  <r>
    <n v="15"/>
    <x v="13"/>
    <n v="81.8"/>
    <n v="0.18"/>
    <n v="81.61999999999999"/>
    <x v="14"/>
  </r>
  <r>
    <n v="16"/>
    <x v="14"/>
    <n v="77.569999999999993"/>
    <n v="0.97"/>
    <n v="76.599999999999994"/>
    <x v="15"/>
  </r>
  <r>
    <n v="17"/>
    <x v="9"/>
    <n v="58.72"/>
    <n v="0.16"/>
    <n v="58.56"/>
    <x v="16"/>
  </r>
  <r>
    <n v="18"/>
    <x v="15"/>
    <n v="106.3"/>
    <n v="3.93"/>
    <n v="102.36999999999999"/>
    <x v="17"/>
  </r>
  <r>
    <n v="19"/>
    <x v="12"/>
    <n v="131.59"/>
    <n v="5.15"/>
    <n v="126.44"/>
    <x v="18"/>
  </r>
  <r>
    <n v="20"/>
    <x v="16"/>
    <n v="145"/>
    <n v="4.5599999999999996"/>
    <n v="140.44"/>
    <x v="19"/>
  </r>
  <r>
    <n v="21"/>
    <x v="17"/>
    <n v="181"/>
    <n v="7.6"/>
    <n v="173.4"/>
    <x v="20"/>
  </r>
  <r>
    <n v="22"/>
    <x v="9"/>
    <n v="57"/>
    <n v="0.69"/>
    <n v="56.31"/>
    <x v="21"/>
  </r>
  <r>
    <n v="23"/>
    <x v="18"/>
    <n v="139"/>
    <n v="4.79"/>
    <n v="134.21"/>
    <x v="22"/>
  </r>
  <r>
    <n v="24"/>
    <x v="13"/>
    <n v="102"/>
    <n v="0.45"/>
    <n v="101.55"/>
    <x v="23"/>
  </r>
  <r>
    <n v="25"/>
    <x v="2"/>
    <n v="79"/>
    <n v="0.18"/>
    <n v="78.819999999999993"/>
    <x v="24"/>
  </r>
  <r>
    <n v="26"/>
    <x v="19"/>
    <n v="245"/>
    <n v="26.18"/>
    <n v="218.82"/>
    <x v="25"/>
  </r>
  <r>
    <n v="27"/>
    <x v="20"/>
    <n v="126"/>
    <n v="18.04"/>
    <n v="107.96000000000001"/>
    <x v="26"/>
  </r>
  <r>
    <n v="28"/>
    <x v="21"/>
    <n v="161"/>
    <n v="26.24"/>
    <n v="134.76"/>
    <x v="27"/>
  </r>
  <r>
    <n v="29"/>
    <x v="22"/>
    <n v="151.82"/>
    <n v="3.11"/>
    <n v="148.70999999999998"/>
    <x v="28"/>
  </r>
  <r>
    <n v="30"/>
    <x v="12"/>
    <n v="116"/>
    <n v="3.13"/>
    <n v="112.87"/>
    <x v="29"/>
  </r>
  <r>
    <n v="31"/>
    <x v="23"/>
    <n v="85"/>
    <n v="1.35"/>
    <n v="83.65"/>
    <x v="30"/>
  </r>
  <r>
    <n v="32"/>
    <x v="24"/>
    <n v="133"/>
    <n v="7.16"/>
    <n v="125.84"/>
    <x v="31"/>
  </r>
  <r>
    <n v="33"/>
    <x v="12"/>
    <n v="127"/>
    <n v="8.0500000000000007"/>
    <n v="118.95"/>
    <x v="32"/>
  </r>
  <r>
    <n v="34"/>
    <x v="25"/>
    <n v="99"/>
    <n v="8.0399999999999991"/>
    <n v="90.960000000000008"/>
    <x v="33"/>
  </r>
  <r>
    <n v="35"/>
    <x v="26"/>
    <n v="145.51"/>
    <n v="7.33"/>
    <n v="138.17999999999998"/>
    <x v="34"/>
  </r>
  <r>
    <n v="36"/>
    <x v="18"/>
    <n v="142.72999999999999"/>
    <n v="21.96"/>
    <n v="120.76999999999998"/>
    <x v="35"/>
  </r>
  <r>
    <n v="37"/>
    <x v="27"/>
    <n v="155.72999999999999"/>
    <n v="20.41"/>
    <n v="135.32"/>
    <x v="36"/>
  </r>
  <r>
    <n v="38"/>
    <x v="20"/>
    <n v="123.05"/>
    <n v="12.14"/>
    <n v="110.91"/>
    <x v="37"/>
  </r>
  <r>
    <n v="39"/>
    <x v="18"/>
    <n v="148.5"/>
    <n v="17.46"/>
    <n v="131.04"/>
    <x v="38"/>
  </r>
  <r>
    <n v="40"/>
    <x v="28"/>
    <n v="106.42"/>
    <n v="10.93"/>
    <n v="95.490000000000009"/>
    <x v="39"/>
  </r>
  <r>
    <n v="41"/>
    <x v="29"/>
    <n v="141.91999999999999"/>
    <n v="3.66"/>
    <n v="138.26"/>
    <x v="40"/>
  </r>
  <r>
    <n v="42"/>
    <x v="30"/>
    <n v="223.92"/>
    <n v="5.21"/>
    <n v="218.70999999999998"/>
    <x v="41"/>
  </r>
  <r>
    <n v="43"/>
    <x v="31"/>
    <n v="157.24"/>
    <n v="3.25"/>
    <n v="153.99"/>
    <x v="42"/>
  </r>
  <r>
    <n v="44"/>
    <x v="32"/>
    <n v="135.68"/>
    <n v="2.44"/>
    <n v="133.24"/>
    <x v="43"/>
  </r>
  <r>
    <n v="45"/>
    <x v="33"/>
    <n v="120.02"/>
    <n v="2.88"/>
    <n v="117.14"/>
    <x v="44"/>
  </r>
  <r>
    <n v="46"/>
    <x v="25"/>
    <n v="98.96"/>
    <n v="2.98"/>
    <n v="95.97999999999999"/>
    <x v="45"/>
  </r>
  <r>
    <n v="47"/>
    <x v="34"/>
    <n v="279"/>
    <n v="13.81"/>
    <n v="265.19"/>
    <x v="46"/>
  </r>
  <r>
    <n v="48"/>
    <x v="35"/>
    <n v="164"/>
    <n v="6.45"/>
    <n v="157.55000000000001"/>
    <x v="47"/>
  </r>
  <r>
    <n v="49"/>
    <x v="12"/>
    <n v="131"/>
    <n v="5.55"/>
    <n v="125.45"/>
    <x v="48"/>
  </r>
  <r>
    <n v="50"/>
    <x v="7"/>
    <n v="77"/>
    <n v="2.02"/>
    <n v="74.98"/>
    <x v="49"/>
  </r>
  <r>
    <n v="51"/>
    <x v="27"/>
    <n v="111"/>
    <n v="3.39"/>
    <n v="107.61"/>
    <x v="50"/>
  </r>
  <r>
    <n v="52"/>
    <x v="13"/>
    <n v="90"/>
    <n v="2.11"/>
    <n v="87.89"/>
    <x v="51"/>
  </r>
  <r>
    <n v="53"/>
    <x v="36"/>
    <n v="88"/>
    <n v="2.4500000000000002"/>
    <n v="85.55"/>
    <x v="52"/>
  </r>
  <r>
    <n v="54"/>
    <x v="37"/>
    <n v="67"/>
    <n v="0.5"/>
    <n v="66.5"/>
    <x v="53"/>
  </r>
  <r>
    <n v="55"/>
    <x v="38"/>
    <n v="111"/>
    <n v="6.03"/>
    <n v="104.97"/>
    <x v="54"/>
  </r>
  <r>
    <n v="56"/>
    <x v="39"/>
    <n v="85"/>
    <n v="3.83"/>
    <n v="81.17"/>
    <x v="55"/>
  </r>
  <r>
    <n v="57"/>
    <x v="37"/>
    <n v="70"/>
    <n v="0.26"/>
    <n v="69.739999999999995"/>
    <x v="56"/>
  </r>
  <r>
    <n v="58"/>
    <x v="40"/>
    <n v="97"/>
    <n v="2.4300000000000002"/>
    <n v="94.57"/>
    <x v="57"/>
  </r>
  <r>
    <n v="59"/>
    <x v="41"/>
    <n v="128"/>
    <n v="3.58"/>
    <n v="124.42"/>
    <x v="58"/>
  </r>
  <r>
    <n v="60"/>
    <x v="33"/>
    <n v="111"/>
    <n v="1.76"/>
    <n v="109.24"/>
    <x v="59"/>
  </r>
  <r>
    <n v="61"/>
    <x v="28"/>
    <n v="91"/>
    <n v="0.5"/>
    <n v="90.5"/>
    <x v="60"/>
  </r>
  <r>
    <n v="62"/>
    <x v="42"/>
    <n v="79"/>
    <n v="0.8"/>
    <n v="78.2"/>
    <x v="61"/>
  </r>
  <r>
    <n v="63"/>
    <x v="43"/>
    <n v="176"/>
    <n v="2.79"/>
    <n v="173.21"/>
    <x v="62"/>
  </r>
  <r>
    <n v="64"/>
    <x v="44"/>
    <n v="107"/>
    <n v="1.49"/>
    <n v="105.51"/>
    <x v="63"/>
  </r>
  <r>
    <n v="65"/>
    <x v="13"/>
    <n v="70"/>
    <n v="0.23"/>
    <n v="69.77"/>
    <x v="64"/>
  </r>
  <r>
    <n v="66"/>
    <x v="45"/>
    <n v="84"/>
    <n v="0.44"/>
    <n v="83.56"/>
    <x v="65"/>
  </r>
  <r>
    <n v="67"/>
    <x v="36"/>
    <n v="86"/>
    <n v="7.1"/>
    <n v="78.900000000000006"/>
    <x v="66"/>
  </r>
  <r>
    <n v="68"/>
    <x v="20"/>
    <n v="111.8"/>
    <n v="2.88"/>
    <n v="108.92"/>
    <x v="67"/>
  </r>
  <r>
    <n v="69"/>
    <x v="46"/>
    <n v="137.69999999999999"/>
    <n v="8.77"/>
    <n v="128.92999999999998"/>
    <x v="68"/>
  </r>
  <r>
    <n v="70"/>
    <x v="12"/>
    <n v="106.1"/>
    <n v="0.84"/>
    <n v="105.25999999999999"/>
    <x v="69"/>
  </r>
  <r>
    <n v="71"/>
    <x v="47"/>
    <n v="90.8"/>
    <n v="0.33"/>
    <n v="90.47"/>
    <x v="70"/>
  </r>
  <r>
    <n v="72"/>
    <x v="3"/>
    <n v="59.2"/>
    <n v="0.3"/>
    <n v="58.900000000000006"/>
    <x v="71"/>
  </r>
  <r>
    <n v="73"/>
    <x v="48"/>
    <n v="161.30000000000001"/>
    <n v="1.36"/>
    <n v="159.94"/>
    <x v="72"/>
  </r>
  <r>
    <n v="74"/>
    <x v="20"/>
    <n v="135.9"/>
    <n v="4.09"/>
    <n v="131.81"/>
    <x v="73"/>
  </r>
  <r>
    <n v="75"/>
    <x v="25"/>
    <n v="114.5"/>
    <n v="1.25"/>
    <n v="113.25"/>
    <x v="74"/>
  </r>
  <r>
    <n v="76"/>
    <x v="42"/>
    <n v="92.7"/>
    <n v="3.93"/>
    <n v="88.77"/>
    <x v="75"/>
  </r>
  <r>
    <n v="77"/>
    <x v="49"/>
    <n v="69.5"/>
    <n v="0.45"/>
    <n v="69.05"/>
    <x v="76"/>
  </r>
  <r>
    <n v="78"/>
    <x v="28"/>
    <n v="99"/>
    <n v="2.4900000000000002"/>
    <n v="96.51"/>
    <x v="77"/>
  </r>
  <r>
    <n v="79"/>
    <x v="50"/>
    <n v="93.5"/>
    <n v="1.42"/>
    <n v="92.08"/>
    <x v="78"/>
  </r>
  <r>
    <n v="80"/>
    <x v="22"/>
    <n v="184.4"/>
    <n v="10.4"/>
    <n v="174"/>
    <x v="79"/>
  </r>
  <r>
    <n v="81"/>
    <x v="50"/>
    <n v="97.3"/>
    <n v="2.88"/>
    <n v="94.42"/>
    <x v="80"/>
  </r>
  <r>
    <n v="82"/>
    <x v="51"/>
    <n v="164.6"/>
    <n v="11.59"/>
    <n v="153.01"/>
    <x v="81"/>
  </r>
  <r>
    <n v="83"/>
    <x v="52"/>
    <n v="22.47"/>
    <n v="0.49"/>
    <n v="21.98"/>
    <x v="82"/>
  </r>
  <r>
    <n v="84"/>
    <x v="28"/>
    <n v="86"/>
    <n v="1.04"/>
    <n v="84.96"/>
    <x v="83"/>
  </r>
  <r>
    <n v="85"/>
    <x v="29"/>
    <n v="157.1"/>
    <n v="3"/>
    <n v="154.1"/>
    <x v="84"/>
  </r>
  <r>
    <n v="86"/>
    <x v="53"/>
    <n v="242.8"/>
    <n v="29.43"/>
    <n v="213.37"/>
    <x v="85"/>
  </r>
  <r>
    <n v="87"/>
    <x v="54"/>
    <n v="139.5"/>
    <n v="19.579999999999998"/>
    <n v="119.92"/>
    <x v="86"/>
  </r>
  <r>
    <n v="88"/>
    <x v="28"/>
    <n v="110.2"/>
    <n v="19.329999999999998"/>
    <n v="90.87"/>
    <x v="87"/>
  </r>
  <r>
    <n v="89"/>
    <x v="18"/>
    <n v="148.80000000000001"/>
    <n v="12.08"/>
    <n v="136.72"/>
    <x v="88"/>
  </r>
  <r>
    <n v="90"/>
    <x v="13"/>
    <n v="84.61"/>
    <n v="0.78"/>
    <n v="83.83"/>
    <x v="89"/>
  </r>
  <r>
    <n v="91"/>
    <x v="33"/>
    <n v="122.8"/>
    <n v="0.89"/>
    <n v="121.91"/>
    <x v="90"/>
  </r>
  <r>
    <n v="92"/>
    <x v="18"/>
    <n v="137.9"/>
    <n v="2.16"/>
    <n v="135.74"/>
    <x v="91"/>
  </r>
  <r>
    <n v="93"/>
    <x v="28"/>
    <n v="107.7"/>
    <n v="1.0900000000000001"/>
    <n v="106.61"/>
    <x v="92"/>
  </r>
  <r>
    <n v="94"/>
    <x v="13"/>
    <n v="89.8"/>
    <n v="0.26"/>
    <n v="89.539999999999992"/>
    <x v="93"/>
  </r>
  <r>
    <n v="95"/>
    <x v="3"/>
    <n v="65.3"/>
    <n v="0.19"/>
    <n v="65.11"/>
    <x v="94"/>
  </r>
  <r>
    <n v="96"/>
    <x v="29"/>
    <n v="156.6"/>
    <n v="3.76"/>
    <n v="152.84"/>
    <x v="95"/>
  </r>
  <r>
    <n v="97"/>
    <x v="55"/>
    <n v="203.2"/>
    <n v="6.74"/>
    <n v="196.45999999999998"/>
    <x v="96"/>
  </r>
  <r>
    <n v="98"/>
    <x v="25"/>
    <n v="116.7"/>
    <n v="1.03"/>
    <n v="115.67"/>
    <x v="97"/>
  </r>
  <r>
    <n v="99"/>
    <x v="56"/>
    <n v="149.30000000000001"/>
    <n v="13.47"/>
    <n v="135.83000000000001"/>
    <x v="98"/>
  </r>
  <r>
    <n v="100"/>
    <x v="57"/>
    <n v="110.5"/>
    <n v="12.35"/>
    <n v="98.15"/>
    <x v="99"/>
  </r>
</pivotCacheRecords>
</file>

<file path=xl/pivotCache/pivotCacheRecords2.xml><?xml version="1.0" encoding="utf-8"?>
<pivotCacheRecords xmlns="http://schemas.openxmlformats.org/spreadsheetml/2006/main" xmlns:r="http://schemas.openxmlformats.org/officeDocument/2006/relationships" count="100">
  <r>
    <x v="0"/>
    <x v="0"/>
    <x v="0"/>
    <x v="0"/>
    <n v="56.86"/>
    <n v="0.24621878297572986"/>
    <n v="0"/>
  </r>
  <r>
    <x v="1"/>
    <x v="1"/>
    <x v="1"/>
    <x v="1"/>
    <n v="71.974000000000004"/>
    <n v="3.6124155945202428E-2"/>
    <n v="0"/>
  </r>
  <r>
    <x v="2"/>
    <x v="2"/>
    <x v="2"/>
    <x v="2"/>
    <n v="73.75"/>
    <n v="0.33898305084745761"/>
    <n v="0"/>
  </r>
  <r>
    <x v="3"/>
    <x v="3"/>
    <x v="3"/>
    <x v="2"/>
    <n v="54.75"/>
    <n v="0.45662100456621002"/>
    <n v="0"/>
  </r>
  <r>
    <x v="4"/>
    <x v="4"/>
    <x v="4"/>
    <x v="3"/>
    <n v="38.880000000000003"/>
    <n v="0.30864197530864196"/>
    <n v="0"/>
  </r>
  <r>
    <x v="5"/>
    <x v="5"/>
    <x v="5"/>
    <x v="4"/>
    <n v="36.699999999999996"/>
    <n v="0.27247956403269757"/>
    <n v="0"/>
  </r>
  <r>
    <x v="6"/>
    <x v="6"/>
    <x v="6"/>
    <x v="5"/>
    <n v="41.239999999999995"/>
    <n v="0.14548981571290009"/>
    <n v="0"/>
  </r>
  <r>
    <x v="7"/>
    <x v="7"/>
    <x v="7"/>
    <x v="6"/>
    <n v="79.67"/>
    <n v="0.1631730889920924"/>
    <n v="0"/>
  </r>
  <r>
    <x v="8"/>
    <x v="8"/>
    <x v="8"/>
    <x v="7"/>
    <n v="22.96"/>
    <n v="0.17421602787456447"/>
    <n v="0"/>
  </r>
  <r>
    <x v="9"/>
    <x v="9"/>
    <x v="0"/>
    <x v="8"/>
    <n v="56.89"/>
    <n v="0.19335559852346634"/>
    <n v="0"/>
  </r>
  <r>
    <x v="10"/>
    <x v="10"/>
    <x v="9"/>
    <x v="9"/>
    <n v="38.019999999999996"/>
    <n v="7.8905839032088379E-2"/>
    <n v="0"/>
  </r>
  <r>
    <x v="11"/>
    <x v="10"/>
    <x v="10"/>
    <x v="10"/>
    <n v="41.59"/>
    <n v="2.4044241404183698E-2"/>
    <n v="0"/>
  </r>
  <r>
    <x v="12"/>
    <x v="11"/>
    <x v="11"/>
    <x v="8"/>
    <n v="46.46"/>
    <n v="0.23676280671545416"/>
    <n v="0"/>
  </r>
  <r>
    <x v="13"/>
    <x v="12"/>
    <x v="12"/>
    <x v="11"/>
    <n v="91.490000000000009"/>
    <n v="0.17488250081976173"/>
    <n v="0"/>
  </r>
  <r>
    <x v="14"/>
    <x v="13"/>
    <x v="13"/>
    <x v="12"/>
    <n v="81.61999999999999"/>
    <n v="0.22053418279833376"/>
    <n v="0"/>
  </r>
  <r>
    <x v="15"/>
    <x v="14"/>
    <x v="14"/>
    <x v="13"/>
    <n v="76.599999999999994"/>
    <n v="1.2663185378590078"/>
    <n v="1"/>
  </r>
  <r>
    <x v="16"/>
    <x v="9"/>
    <x v="15"/>
    <x v="11"/>
    <n v="58.56"/>
    <n v="0.27322404371584702"/>
    <n v="0"/>
  </r>
  <r>
    <x v="17"/>
    <x v="15"/>
    <x v="16"/>
    <x v="14"/>
    <n v="102.36999999999999"/>
    <n v="3.8390153365243727"/>
    <n v="1"/>
  </r>
  <r>
    <x v="18"/>
    <x v="12"/>
    <x v="17"/>
    <x v="15"/>
    <n v="126.44"/>
    <n v="4.0730781398291684"/>
    <n v="1"/>
  </r>
  <r>
    <x v="19"/>
    <x v="16"/>
    <x v="18"/>
    <x v="16"/>
    <n v="140.44"/>
    <n v="3.2469381942466535"/>
    <n v="1"/>
  </r>
  <r>
    <x v="20"/>
    <x v="17"/>
    <x v="19"/>
    <x v="17"/>
    <n v="173.4"/>
    <n v="4.3829296424452133"/>
    <n v="1"/>
  </r>
  <r>
    <x v="21"/>
    <x v="9"/>
    <x v="0"/>
    <x v="18"/>
    <n v="56.5"/>
    <n v="0.88495575221238942"/>
    <n v="0"/>
  </r>
  <r>
    <x v="22"/>
    <x v="18"/>
    <x v="20"/>
    <x v="19"/>
    <n v="134.21"/>
    <n v="3.5690336040533488"/>
    <n v="1"/>
  </r>
  <r>
    <x v="23"/>
    <x v="13"/>
    <x v="21"/>
    <x v="20"/>
    <n v="101.55"/>
    <n v="0.44313146233382572"/>
    <n v="0"/>
  </r>
  <r>
    <x v="24"/>
    <x v="2"/>
    <x v="22"/>
    <x v="12"/>
    <n v="78.819999999999993"/>
    <n v="0.22836843440751081"/>
    <n v="0"/>
  </r>
  <r>
    <x v="25"/>
    <x v="19"/>
    <x v="23"/>
    <x v="21"/>
    <n v="218.82"/>
    <n v="11.964171465131159"/>
    <n v="1"/>
  </r>
  <r>
    <x v="26"/>
    <x v="20"/>
    <x v="24"/>
    <x v="22"/>
    <n v="107.96000000000001"/>
    <n v="16.709892552797331"/>
    <n v="1"/>
  </r>
  <r>
    <x v="27"/>
    <x v="21"/>
    <x v="25"/>
    <x v="23"/>
    <n v="134.76"/>
    <n v="19.471653309587413"/>
    <n v="1"/>
  </r>
  <r>
    <x v="28"/>
    <x v="22"/>
    <x v="26"/>
    <x v="24"/>
    <n v="148.70999999999998"/>
    <n v="2.0913186739291239"/>
    <n v="1"/>
  </r>
  <r>
    <x v="29"/>
    <x v="12"/>
    <x v="27"/>
    <x v="25"/>
    <n v="112.87"/>
    <n v="2.7731017985292814"/>
    <n v="1"/>
  </r>
  <r>
    <x v="30"/>
    <x v="23"/>
    <x v="28"/>
    <x v="26"/>
    <n v="83.65"/>
    <n v="1.6138673042438731"/>
    <n v="1"/>
  </r>
  <r>
    <x v="31"/>
    <x v="24"/>
    <x v="29"/>
    <x v="27"/>
    <n v="125.84"/>
    <n v="5.6897647806738716"/>
    <n v="1"/>
  </r>
  <r>
    <x v="32"/>
    <x v="12"/>
    <x v="30"/>
    <x v="28"/>
    <n v="118.95"/>
    <n v="6.7675493905002106"/>
    <n v="1"/>
  </r>
  <r>
    <x v="33"/>
    <x v="25"/>
    <x v="31"/>
    <x v="29"/>
    <n v="90.960000000000008"/>
    <n v="8.8390501319261201"/>
    <n v="1"/>
  </r>
  <r>
    <x v="34"/>
    <x v="26"/>
    <x v="32"/>
    <x v="30"/>
    <n v="138.17999999999998"/>
    <n v="5.3046750615139677"/>
    <n v="1"/>
  </r>
  <r>
    <x v="35"/>
    <x v="18"/>
    <x v="33"/>
    <x v="31"/>
    <n v="120.76999999999998"/>
    <n v="18.183323673097625"/>
    <n v="1"/>
  </r>
  <r>
    <x v="36"/>
    <x v="27"/>
    <x v="34"/>
    <x v="32"/>
    <n v="135.32"/>
    <n v="15.082766775051731"/>
    <n v="1"/>
  </r>
  <r>
    <x v="37"/>
    <x v="20"/>
    <x v="35"/>
    <x v="33"/>
    <n v="110.91"/>
    <n v="10.94581191957443"/>
    <n v="1"/>
  </r>
  <r>
    <x v="38"/>
    <x v="18"/>
    <x v="36"/>
    <x v="34"/>
    <n v="131.04"/>
    <n v="13.324175824175827"/>
    <n v="1"/>
  </r>
  <r>
    <x v="39"/>
    <x v="28"/>
    <x v="37"/>
    <x v="35"/>
    <n v="95.490000000000009"/>
    <n v="11.446224735574404"/>
    <n v="1"/>
  </r>
  <r>
    <x v="40"/>
    <x v="29"/>
    <x v="38"/>
    <x v="36"/>
    <n v="138.26"/>
    <n v="2.6471864602922035"/>
    <n v="1"/>
  </r>
  <r>
    <x v="41"/>
    <x v="30"/>
    <x v="39"/>
    <x v="37"/>
    <n v="218.70999999999998"/>
    <n v="2.3821498788349871"/>
    <n v="1"/>
  </r>
  <r>
    <x v="42"/>
    <x v="31"/>
    <x v="40"/>
    <x v="38"/>
    <n v="153.99"/>
    <n v="2.1105266575751669"/>
    <n v="1"/>
  </r>
  <r>
    <x v="43"/>
    <x v="32"/>
    <x v="41"/>
    <x v="39"/>
    <n v="133.24"/>
    <n v="1.8312818973281293"/>
    <n v="1"/>
  </r>
  <r>
    <x v="44"/>
    <x v="33"/>
    <x v="42"/>
    <x v="40"/>
    <n v="117.14"/>
    <n v="2.4585965511353933"/>
    <n v="1"/>
  </r>
  <r>
    <x v="45"/>
    <x v="25"/>
    <x v="43"/>
    <x v="41"/>
    <n v="95.97999999999999"/>
    <n v="3.1048135028130863"/>
    <n v="1"/>
  </r>
  <r>
    <x v="46"/>
    <x v="34"/>
    <x v="44"/>
    <x v="42"/>
    <n v="265.19"/>
    <n v="5.2075870130849582"/>
    <n v="1"/>
  </r>
  <r>
    <x v="47"/>
    <x v="35"/>
    <x v="45"/>
    <x v="43"/>
    <n v="157.55000000000001"/>
    <n v="4.093938432243732"/>
    <n v="1"/>
  </r>
  <r>
    <x v="48"/>
    <x v="12"/>
    <x v="46"/>
    <x v="44"/>
    <n v="125.45"/>
    <n v="4.4240733359904336"/>
    <n v="1"/>
  </r>
  <r>
    <x v="49"/>
    <x v="7"/>
    <x v="47"/>
    <x v="45"/>
    <n v="74.98"/>
    <n v="2.6940517471325682"/>
    <n v="1"/>
  </r>
  <r>
    <x v="50"/>
    <x v="27"/>
    <x v="48"/>
    <x v="46"/>
    <n v="107.61"/>
    <n v="3.1502648452746032"/>
    <n v="1"/>
  </r>
  <r>
    <x v="51"/>
    <x v="13"/>
    <x v="49"/>
    <x v="47"/>
    <n v="87.89"/>
    <n v="2.4007281829559677"/>
    <n v="1"/>
  </r>
  <r>
    <x v="52"/>
    <x v="36"/>
    <x v="50"/>
    <x v="48"/>
    <n v="85.55"/>
    <n v="2.8638223261250735"/>
    <n v="1"/>
  </r>
  <r>
    <x v="53"/>
    <x v="37"/>
    <x v="51"/>
    <x v="18"/>
    <n v="66.5"/>
    <n v="0.75187969924812026"/>
    <n v="0"/>
  </r>
  <r>
    <x v="54"/>
    <x v="38"/>
    <x v="48"/>
    <x v="49"/>
    <n v="104.97"/>
    <n v="5.7444984281223208"/>
    <n v="1"/>
  </r>
  <r>
    <x v="55"/>
    <x v="39"/>
    <x v="28"/>
    <x v="50"/>
    <n v="81.17"/>
    <n v="4.7184920537144261"/>
    <n v="1"/>
  </r>
  <r>
    <x v="56"/>
    <x v="37"/>
    <x v="52"/>
    <x v="51"/>
    <n v="69.739999999999995"/>
    <n v="0.37281330656724981"/>
    <n v="0"/>
  </r>
  <r>
    <x v="57"/>
    <x v="40"/>
    <x v="53"/>
    <x v="52"/>
    <n v="94.57"/>
    <n v="2.5695252194141909"/>
    <n v="1"/>
  </r>
  <r>
    <x v="58"/>
    <x v="41"/>
    <x v="54"/>
    <x v="53"/>
    <n v="124.42"/>
    <n v="2.8773509082141135"/>
    <n v="1"/>
  </r>
  <r>
    <x v="59"/>
    <x v="33"/>
    <x v="48"/>
    <x v="54"/>
    <n v="109.24"/>
    <n v="1.6111314536799708"/>
    <n v="1"/>
  </r>
  <r>
    <x v="60"/>
    <x v="28"/>
    <x v="55"/>
    <x v="18"/>
    <n v="90.5"/>
    <n v="0.55248618784530379"/>
    <n v="0"/>
  </r>
  <r>
    <x v="61"/>
    <x v="42"/>
    <x v="22"/>
    <x v="55"/>
    <n v="78.2"/>
    <n v="1.0230179028132993"/>
    <n v="0"/>
  </r>
  <r>
    <x v="62"/>
    <x v="43"/>
    <x v="56"/>
    <x v="56"/>
    <n v="173.21"/>
    <n v="1.610761503377403"/>
    <n v="1"/>
  </r>
  <r>
    <x v="63"/>
    <x v="44"/>
    <x v="57"/>
    <x v="57"/>
    <n v="105.51"/>
    <n v="1.4121884181594162"/>
    <n v="1"/>
  </r>
  <r>
    <x v="64"/>
    <x v="13"/>
    <x v="52"/>
    <x v="58"/>
    <n v="69.77"/>
    <n v="0.32965457933209119"/>
    <n v="0"/>
  </r>
  <r>
    <x v="65"/>
    <x v="45"/>
    <x v="58"/>
    <x v="59"/>
    <n v="83.56"/>
    <n v="0.52656773575873628"/>
    <n v="0"/>
  </r>
  <r>
    <x v="66"/>
    <x v="36"/>
    <x v="59"/>
    <x v="60"/>
    <n v="78.900000000000006"/>
    <n v="8.9987325728770582"/>
    <n v="1"/>
  </r>
  <r>
    <x v="67"/>
    <x v="20"/>
    <x v="60"/>
    <x v="40"/>
    <n v="108.92"/>
    <n v="2.6441424899008448"/>
    <n v="1"/>
  </r>
  <r>
    <x v="68"/>
    <x v="46"/>
    <x v="61"/>
    <x v="61"/>
    <n v="128.92999999999998"/>
    <n v="6.8021406965019793"/>
    <n v="1"/>
  </r>
  <r>
    <x v="69"/>
    <x v="12"/>
    <x v="62"/>
    <x v="62"/>
    <n v="105.25999999999999"/>
    <n v="0.79802394071822147"/>
    <n v="0"/>
  </r>
  <r>
    <x v="70"/>
    <x v="47"/>
    <x v="63"/>
    <x v="63"/>
    <n v="90.47"/>
    <n v="0.36476179949154419"/>
    <n v="0"/>
  </r>
  <r>
    <x v="71"/>
    <x v="3"/>
    <x v="64"/>
    <x v="64"/>
    <n v="58.900000000000006"/>
    <n v="0.50933786078098464"/>
    <n v="0"/>
  </r>
  <r>
    <x v="72"/>
    <x v="48"/>
    <x v="65"/>
    <x v="65"/>
    <n v="159.94"/>
    <n v="0.85031886957609104"/>
    <n v="0"/>
  </r>
  <r>
    <x v="73"/>
    <x v="20"/>
    <x v="66"/>
    <x v="66"/>
    <n v="131.81"/>
    <n v="3.1029512176617859"/>
    <n v="1"/>
  </r>
  <r>
    <x v="74"/>
    <x v="25"/>
    <x v="67"/>
    <x v="67"/>
    <n v="113.25"/>
    <n v="1.1037527593818985"/>
    <n v="1"/>
  </r>
  <r>
    <x v="75"/>
    <x v="42"/>
    <x v="68"/>
    <x v="14"/>
    <n v="88.77"/>
    <n v="4.4271713416694833"/>
    <n v="1"/>
  </r>
  <r>
    <x v="76"/>
    <x v="49"/>
    <x v="69"/>
    <x v="20"/>
    <n v="69.05"/>
    <n v="0.65170166545981179"/>
    <n v="0"/>
  </r>
  <r>
    <x v="77"/>
    <x v="28"/>
    <x v="31"/>
    <x v="68"/>
    <n v="96.51"/>
    <n v="2.5800435188063418"/>
    <n v="1"/>
  </r>
  <r>
    <x v="78"/>
    <x v="50"/>
    <x v="70"/>
    <x v="69"/>
    <n v="92.08"/>
    <n v="1.5421372719374458"/>
    <n v="1"/>
  </r>
  <r>
    <x v="79"/>
    <x v="22"/>
    <x v="71"/>
    <x v="70"/>
    <n v="174"/>
    <n v="5.9770114942528734"/>
    <n v="1"/>
  </r>
  <r>
    <x v="80"/>
    <x v="50"/>
    <x v="72"/>
    <x v="40"/>
    <n v="94.42"/>
    <n v="3.0502012285532722"/>
    <n v="1"/>
  </r>
  <r>
    <x v="81"/>
    <x v="51"/>
    <x v="73"/>
    <x v="71"/>
    <n v="153.01"/>
    <n v="7.5746683223318749"/>
    <n v="1"/>
  </r>
  <r>
    <x v="82"/>
    <x v="52"/>
    <x v="74"/>
    <x v="72"/>
    <n v="51.6"/>
    <n v="0.77519379844961245"/>
    <n v="0"/>
  </r>
  <r>
    <x v="83"/>
    <x v="28"/>
    <x v="59"/>
    <x v="73"/>
    <n v="84.96"/>
    <n v="1.2241054613935971"/>
    <n v="1"/>
  </r>
  <r>
    <x v="84"/>
    <x v="29"/>
    <x v="75"/>
    <x v="74"/>
    <n v="154.1"/>
    <n v="1.9467878001297858"/>
    <n v="1"/>
  </r>
  <r>
    <x v="85"/>
    <x v="53"/>
    <x v="76"/>
    <x v="75"/>
    <n v="213.37"/>
    <n v="13.792941838121573"/>
    <n v="1"/>
  </r>
  <r>
    <x v="86"/>
    <x v="54"/>
    <x v="77"/>
    <x v="76"/>
    <n v="119.92"/>
    <n v="16.327551701134087"/>
    <n v="1"/>
  </r>
  <r>
    <x v="87"/>
    <x v="28"/>
    <x v="78"/>
    <x v="77"/>
    <n v="90.87"/>
    <n v="21.272147023219983"/>
    <n v="1"/>
  </r>
  <r>
    <x v="88"/>
    <x v="18"/>
    <x v="79"/>
    <x v="78"/>
    <n v="136.72"/>
    <n v="8.8355763604447048"/>
    <n v="1"/>
  </r>
  <r>
    <x v="89"/>
    <x v="13"/>
    <x v="80"/>
    <x v="79"/>
    <n v="83.83"/>
    <n v="0.93045449123225576"/>
    <n v="0"/>
  </r>
  <r>
    <x v="90"/>
    <x v="33"/>
    <x v="81"/>
    <x v="80"/>
    <n v="121.91"/>
    <n v="0.73004675580346157"/>
    <n v="0"/>
  </r>
  <r>
    <x v="91"/>
    <x v="18"/>
    <x v="82"/>
    <x v="81"/>
    <n v="135.74"/>
    <n v="1.5912774421688523"/>
    <n v="1"/>
  </r>
  <r>
    <x v="92"/>
    <x v="28"/>
    <x v="83"/>
    <x v="82"/>
    <n v="106.61"/>
    <n v="1.0224181596473128"/>
    <n v="0"/>
  </r>
  <r>
    <x v="93"/>
    <x v="13"/>
    <x v="84"/>
    <x v="51"/>
    <n v="89.539999999999992"/>
    <n v="0.29037301764574497"/>
    <n v="0"/>
  </r>
  <r>
    <x v="94"/>
    <x v="3"/>
    <x v="85"/>
    <x v="83"/>
    <n v="65.11"/>
    <n v="0.29181385347872835"/>
    <n v="0"/>
  </r>
  <r>
    <x v="95"/>
    <x v="29"/>
    <x v="86"/>
    <x v="84"/>
    <n v="152.84"/>
    <n v="2.4600889819419001"/>
    <n v="1"/>
  </r>
  <r>
    <x v="96"/>
    <x v="55"/>
    <x v="87"/>
    <x v="85"/>
    <n v="196.45999999999998"/>
    <n v="3.4307238114628937"/>
    <n v="1"/>
  </r>
  <r>
    <x v="97"/>
    <x v="25"/>
    <x v="88"/>
    <x v="86"/>
    <n v="115.67"/>
    <n v="0.89046425175067001"/>
    <n v="0"/>
  </r>
  <r>
    <x v="98"/>
    <x v="56"/>
    <x v="89"/>
    <x v="87"/>
    <n v="135.83000000000001"/>
    <n v="9.916807774423912"/>
    <n v="1"/>
  </r>
  <r>
    <x v="99"/>
    <x v="57"/>
    <x v="90"/>
    <x v="88"/>
    <n v="98.15"/>
    <n v="12.58278145695364"/>
    <n v="1"/>
  </r>
</pivotCacheRecords>
</file>

<file path=xl/pivotCache/pivotCacheRecords3.xml><?xml version="1.0" encoding="utf-8"?>
<pivotCacheRecords xmlns="http://schemas.openxmlformats.org/spreadsheetml/2006/main" xmlns:r="http://schemas.openxmlformats.org/officeDocument/2006/relationships" count="12">
  <r>
    <x v="0"/>
    <n v="0.43238993710691825"/>
  </r>
  <r>
    <x v="1"/>
    <n v="4.875998318621269"/>
  </r>
  <r>
    <x v="2"/>
    <n v="5.285323225942304"/>
  </r>
  <r>
    <x v="3"/>
    <n v="5.7753331922995557"/>
  </r>
  <r>
    <x v="4"/>
    <n v="2.5010250102501024"/>
  </r>
  <r>
    <x v="5"/>
    <n v="0.44194455604660504"/>
  </r>
  <r>
    <x v="6"/>
    <n v="0.44194455604660504"/>
  </r>
  <r>
    <x v="7"/>
    <n v="0.44194455604660504"/>
  </r>
  <r>
    <x v="8"/>
    <n v="0.44194455604660504"/>
  </r>
  <r>
    <x v="9"/>
    <n v="0.44194455604660504"/>
  </r>
  <r>
    <x v="10"/>
    <n v="0.44194455604660504"/>
  </r>
  <r>
    <x v="11"/>
    <n v="0.44194455604660504"/>
  </r>
</pivotCacheRecords>
</file>

<file path=xl/pivotCache/pivotCacheRecords4.xml><?xml version="1.0" encoding="utf-8"?>
<pivotCacheRecords xmlns="http://schemas.openxmlformats.org/spreadsheetml/2006/main" xmlns:r="http://schemas.openxmlformats.org/officeDocument/2006/relationships" count="181">
  <r>
    <x v="0"/>
    <s v="Ho'onui"/>
    <n v="1"/>
    <m/>
    <n v="511"/>
    <n v="2.2000000000000002"/>
    <n v="508.8"/>
    <n v="0.43238993710691825"/>
  </r>
  <r>
    <x v="1"/>
    <s v="Ho'onui"/>
    <n v="2"/>
    <m/>
    <n v="445"/>
    <n v="2.4"/>
    <n v="442.6"/>
    <n v="0.54225033890646179"/>
  </r>
  <r>
    <x v="1"/>
    <s v="Ho'onui"/>
    <n v="3"/>
    <m/>
    <n v="560"/>
    <n v="1.8"/>
    <n v="558.20000000000005"/>
    <n v="0.32246506628448585"/>
  </r>
  <r>
    <x v="1"/>
    <s v="Ho'onui"/>
    <n v="4"/>
    <m/>
    <n v="450"/>
    <n v="2.4"/>
    <n v="447.6"/>
    <n v="0.53619302949061654"/>
  </r>
  <r>
    <x v="1"/>
    <s v="Ho'onui"/>
    <n v="5"/>
    <m/>
    <n v="499"/>
    <n v="1.2"/>
    <n v="497.8"/>
    <n v="0.24106066693451184"/>
  </r>
  <r>
    <x v="1"/>
    <s v="Poepoe"/>
    <n v="1"/>
    <m/>
    <n v="500"/>
    <n v="2.2000000000000002"/>
    <n v="497.8"/>
    <n v="0.44194455604660504"/>
  </r>
  <r>
    <x v="1"/>
    <s v="Poepoe"/>
    <n v="2"/>
    <m/>
    <n v="455"/>
    <n v="2.4"/>
    <n v="452.6"/>
    <n v="0.53026955368979223"/>
  </r>
  <r>
    <x v="1"/>
    <s v="Poepoe"/>
    <n v="3"/>
    <m/>
    <n v="686"/>
    <n v="1.8"/>
    <n v="684.2"/>
    <n v="0.26308097047646883"/>
  </r>
  <r>
    <x v="1"/>
    <s v="Poepoe"/>
    <n v="4"/>
    <m/>
    <n v="450"/>
    <n v="2.4"/>
    <n v="447.6"/>
    <n v="0.53619302949061654"/>
  </r>
  <r>
    <x v="1"/>
    <s v="Poepoe"/>
    <n v="5"/>
    <m/>
    <n v="330"/>
    <n v="1.2"/>
    <n v="328.8"/>
    <n v="0.36496350364963503"/>
  </r>
  <r>
    <x v="1"/>
    <s v="Emi"/>
    <n v="1"/>
    <m/>
    <n v="500"/>
    <n v="2.1"/>
    <n v="497.9"/>
    <n v="0.4217714400482025"/>
  </r>
  <r>
    <x v="1"/>
    <s v="Emi"/>
    <n v="2"/>
    <m/>
    <n v="455"/>
    <n v="1.4"/>
    <n v="453.6"/>
    <n v="0.30864197530864196"/>
  </r>
  <r>
    <x v="1"/>
    <s v="Emi"/>
    <n v="3"/>
    <m/>
    <n v="686"/>
    <n v="1.5"/>
    <n v="684.5"/>
    <n v="0.21913805697589481"/>
  </r>
  <r>
    <x v="1"/>
    <s v="Emi"/>
    <n v="4"/>
    <m/>
    <n v="450"/>
    <n v="1.3"/>
    <n v="448.7"/>
    <n v="0.28972587474927569"/>
  </r>
  <r>
    <x v="1"/>
    <s v="Emi"/>
    <n v="5"/>
    <m/>
    <n v="330"/>
    <n v="0.8"/>
    <n v="329.2"/>
    <n v="0.24301336573511545"/>
  </r>
  <r>
    <x v="2"/>
    <s v="Ho'onui"/>
    <n v="1"/>
    <m/>
    <n v="499"/>
    <n v="23.2"/>
    <n v="475.8"/>
    <n v="4.875998318621269"/>
  </r>
  <r>
    <x v="1"/>
    <s v="Ho'onui"/>
    <n v="2"/>
    <m/>
    <n v="458"/>
    <n v="25.2"/>
    <n v="432.8"/>
    <n v="5.8225508317929755"/>
  </r>
  <r>
    <x v="1"/>
    <s v="Ho'onui"/>
    <n v="3"/>
    <m/>
    <n v="600"/>
    <n v="36.4"/>
    <n v="563.6"/>
    <n v="6.4584811923349887"/>
  </r>
  <r>
    <x v="1"/>
    <s v="Ho'onui"/>
    <n v="4"/>
    <m/>
    <n v="402"/>
    <n v="24.2"/>
    <n v="377.8"/>
    <n v="6.405505558496559"/>
  </r>
  <r>
    <x v="1"/>
    <s v="Ho'onui"/>
    <n v="5"/>
    <m/>
    <n v="350"/>
    <n v="26.7"/>
    <n v="323.3"/>
    <n v="8.2585833591091848"/>
  </r>
  <r>
    <x v="1"/>
    <s v="Poepoe"/>
    <n v="1"/>
    <m/>
    <n v="499"/>
    <n v="2.1"/>
    <n v="496.9"/>
    <n v="0.42262024552223787"/>
  </r>
  <r>
    <x v="1"/>
    <s v="Poepoe"/>
    <n v="2"/>
    <m/>
    <n v="399"/>
    <n v="3"/>
    <n v="396"/>
    <n v="0.75757575757575757"/>
  </r>
  <r>
    <x v="1"/>
    <s v="Poepoe"/>
    <n v="3"/>
    <m/>
    <n v="566"/>
    <n v="1.8"/>
    <n v="564.20000000000005"/>
    <n v="0.31903580290677064"/>
  </r>
  <r>
    <x v="1"/>
    <s v="Poepoe"/>
    <n v="4"/>
    <m/>
    <n v="433"/>
    <n v="2.4"/>
    <n v="430.6"/>
    <n v="0.55736182071528095"/>
  </r>
  <r>
    <x v="1"/>
    <s v="Poepoe"/>
    <n v="5"/>
    <m/>
    <m/>
    <m/>
    <m/>
    <m/>
  </r>
  <r>
    <x v="1"/>
    <s v="Emi"/>
    <n v="1"/>
    <m/>
    <n v="499"/>
    <n v="2"/>
    <n v="497"/>
    <n v="0.4024144869215292"/>
  </r>
  <r>
    <x v="1"/>
    <s v="Emi"/>
    <n v="2"/>
    <m/>
    <n v="458"/>
    <n v="3"/>
    <n v="455"/>
    <n v="0.65934065934065933"/>
  </r>
  <r>
    <x v="1"/>
    <s v="Emi"/>
    <n v="3"/>
    <m/>
    <n v="600"/>
    <n v="4.4000000000000004"/>
    <n v="595.6"/>
    <n v="0.73875083948959031"/>
  </r>
  <r>
    <x v="1"/>
    <s v="Emi"/>
    <n v="4"/>
    <m/>
    <n v="402"/>
    <n v="2"/>
    <n v="400"/>
    <n v="0.5"/>
  </r>
  <r>
    <x v="1"/>
    <s v="Emi"/>
    <n v="5"/>
    <m/>
    <n v="350"/>
    <n v="1"/>
    <n v="349"/>
    <n v="0.28653295128939826"/>
  </r>
  <r>
    <x v="3"/>
    <s v="Ho'onui"/>
    <n v="1"/>
    <m/>
    <n v="500"/>
    <n v="25.1"/>
    <n v="474.9"/>
    <n v="5.285323225942304"/>
  </r>
  <r>
    <x v="1"/>
    <s v="Ho'onui"/>
    <n v="2"/>
    <m/>
    <n v="455"/>
    <n v="23.6"/>
    <n v="431.4"/>
    <n v="5.4705609643022717"/>
  </r>
  <r>
    <x v="1"/>
    <s v="Ho'onui"/>
    <n v="3"/>
    <m/>
    <n v="686"/>
    <n v="30.1"/>
    <n v="655.9"/>
    <n v="4.5891141942369273"/>
  </r>
  <r>
    <x v="1"/>
    <s v="Ho'onui"/>
    <n v="4"/>
    <m/>
    <n v="400"/>
    <n v="20.100000000000001"/>
    <n v="379.9"/>
    <n v="5.290866017372994"/>
  </r>
  <r>
    <x v="1"/>
    <s v="Ho'onui"/>
    <n v="5"/>
    <m/>
    <n v="580"/>
    <n v="35.1"/>
    <n v="544.9"/>
    <n v="6.4415489080565242"/>
  </r>
  <r>
    <x v="1"/>
    <s v="Poepoe"/>
    <n v="1"/>
    <m/>
    <n v="511"/>
    <n v="2.2000000000000002"/>
    <n v="508.8"/>
    <n v="0.43238993710691825"/>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5.0999999999999996"/>
    <n v="494.9"/>
    <n v="1.0305112143867448"/>
  </r>
  <r>
    <x v="1"/>
    <s v="Emi"/>
    <n v="2"/>
    <m/>
    <n v="455"/>
    <n v="4.2"/>
    <n v="450.8"/>
    <n v="0.93167701863354035"/>
  </r>
  <r>
    <x v="1"/>
    <s v="Emi"/>
    <n v="3"/>
    <m/>
    <n v="686"/>
    <n v="6.1"/>
    <n v="679.9"/>
    <n v="0.8971907633475511"/>
  </r>
  <r>
    <x v="1"/>
    <s v="Emi"/>
    <n v="4"/>
    <m/>
    <n v="450"/>
    <n v="4.5"/>
    <n v="445.5"/>
    <n v="1.0101010101010102"/>
  </r>
  <r>
    <x v="1"/>
    <s v="Emi"/>
    <n v="5"/>
    <m/>
    <n v="330"/>
    <n v="4.0999999999999996"/>
    <n v="325.89999999999998"/>
    <n v="1.2580546179809757"/>
  </r>
  <r>
    <x v="4"/>
    <s v="Ho'onui"/>
    <n v="1"/>
    <m/>
    <n v="500"/>
    <n v="27.3"/>
    <n v="472.7"/>
    <n v="5.7753331922995557"/>
  </r>
  <r>
    <x v="1"/>
    <s v="Ho'onui"/>
    <n v="2"/>
    <m/>
    <n v="455"/>
    <n v="23.5"/>
    <n v="431.5"/>
    <n v="5.4461181923522597"/>
  </r>
  <r>
    <x v="1"/>
    <s v="Ho'onui"/>
    <n v="3"/>
    <m/>
    <n v="686"/>
    <n v="33.5"/>
    <n v="652.5"/>
    <n v="5.1340996168582373"/>
  </r>
  <r>
    <x v="1"/>
    <s v="Ho'onui"/>
    <n v="4"/>
    <m/>
    <n v="450"/>
    <n v="26.1"/>
    <n v="423.9"/>
    <n v="6.1571125265392785"/>
  </r>
  <r>
    <x v="1"/>
    <s v="Ho'onui"/>
    <n v="5"/>
    <m/>
    <n v="330"/>
    <n v="20.2"/>
    <n v="309.8"/>
    <n v="6.5203357004519038"/>
  </r>
  <r>
    <x v="1"/>
    <s v="Poepoe"/>
    <n v="1"/>
    <m/>
    <n v="511"/>
    <n v="2.2000000000000002"/>
    <n v="508.8"/>
    <n v="0.43238993710691825"/>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5.0999999999999996"/>
    <n v="494.9"/>
    <n v="1.0305112143867448"/>
  </r>
  <r>
    <x v="1"/>
    <s v="Emi"/>
    <n v="2"/>
    <m/>
    <n v="455"/>
    <n v="4.2"/>
    <n v="450.8"/>
    <n v="0.93167701863354035"/>
  </r>
  <r>
    <x v="1"/>
    <s v="Emi"/>
    <n v="3"/>
    <m/>
    <n v="686"/>
    <n v="6.1"/>
    <n v="679.9"/>
    <n v="0.8971907633475511"/>
  </r>
  <r>
    <x v="1"/>
    <s v="Emi"/>
    <n v="4"/>
    <m/>
    <n v="450"/>
    <n v="4.5"/>
    <n v="445.5"/>
    <n v="1.0101010101010102"/>
  </r>
  <r>
    <x v="1"/>
    <s v="Emi"/>
    <n v="5"/>
    <m/>
    <n v="330"/>
    <n v="4.0999999999999996"/>
    <n v="325.89999999999998"/>
    <n v="1.2580546179809757"/>
  </r>
  <r>
    <x v="5"/>
    <s v="Ho'onui"/>
    <n v="1"/>
    <m/>
    <n v="500"/>
    <n v="12.2"/>
    <n v="487.8"/>
    <n v="2.5010250102501024"/>
  </r>
  <r>
    <x v="1"/>
    <s v="Ho'onui"/>
    <n v="2"/>
    <m/>
    <n v="455"/>
    <n v="11.4"/>
    <n v="443.6"/>
    <n v="2.5698827772768258"/>
  </r>
  <r>
    <x v="1"/>
    <s v="Ho'onui"/>
    <n v="3"/>
    <m/>
    <n v="686"/>
    <n v="13.4"/>
    <n v="672.6"/>
    <n v="1.9922688076122508"/>
  </r>
  <r>
    <x v="1"/>
    <s v="Ho'onui"/>
    <n v="4"/>
    <m/>
    <n v="450"/>
    <n v="9.9"/>
    <n v="440.1"/>
    <n v="2.2494887525562373"/>
  </r>
  <r>
    <x v="1"/>
    <s v="Ho'onui"/>
    <n v="5"/>
    <m/>
    <n v="330"/>
    <n v="5.3"/>
    <n v="324.7"/>
    <n v="1.6322759470280259"/>
  </r>
  <r>
    <x v="1"/>
    <s v="Poepoe"/>
    <n v="1"/>
    <m/>
    <n v="511"/>
    <n v="2.2000000000000002"/>
    <n v="508.8"/>
    <n v="0.43238993710691825"/>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2.1"/>
    <n v="497.9"/>
    <n v="0.4217714400482025"/>
  </r>
  <r>
    <x v="1"/>
    <s v="Emi"/>
    <n v="2"/>
    <m/>
    <n v="455"/>
    <n v="1.4"/>
    <n v="453.6"/>
    <n v="0.30864197530864196"/>
  </r>
  <r>
    <x v="1"/>
    <s v="Emi"/>
    <n v="3"/>
    <m/>
    <n v="686"/>
    <n v="1.5"/>
    <n v="684.5"/>
    <n v="0.21913805697589481"/>
  </r>
  <r>
    <x v="1"/>
    <s v="Emi"/>
    <n v="4"/>
    <m/>
    <n v="450"/>
    <n v="1.3"/>
    <n v="448.7"/>
    <n v="0.28972587474927569"/>
  </r>
  <r>
    <x v="1"/>
    <s v="Emi"/>
    <n v="5"/>
    <m/>
    <n v="330"/>
    <n v="0.8"/>
    <n v="329.2"/>
    <n v="0.24301336573511545"/>
  </r>
  <r>
    <x v="6"/>
    <s v="Ho'onui"/>
    <n v="1"/>
    <m/>
    <n v="500"/>
    <n v="2.2000000000000002"/>
    <n v="497.8"/>
    <n v="0.44194455604660504"/>
  </r>
  <r>
    <x v="1"/>
    <s v="Ho'onui"/>
    <n v="2"/>
    <m/>
    <n v="455"/>
    <n v="2.4"/>
    <n v="452.6"/>
    <n v="0.53026955368979223"/>
  </r>
  <r>
    <x v="1"/>
    <s v="Ho'onui"/>
    <n v="3"/>
    <m/>
    <n v="686"/>
    <n v="1.8"/>
    <n v="684.2"/>
    <n v="0.26308097047646883"/>
  </r>
  <r>
    <x v="1"/>
    <s v="Ho'onui"/>
    <n v="4"/>
    <m/>
    <n v="450"/>
    <n v="2.4"/>
    <n v="447.6"/>
    <n v="0.53619302949061654"/>
  </r>
  <r>
    <x v="1"/>
    <s v="Ho'onui"/>
    <n v="5"/>
    <m/>
    <n v="330"/>
    <n v="1.2"/>
    <n v="328.8"/>
    <n v="0.36496350364963503"/>
  </r>
  <r>
    <x v="1"/>
    <s v="Poepoe"/>
    <n v="1"/>
    <m/>
    <n v="511"/>
    <n v="2.2000000000000002"/>
    <n v="508.8"/>
    <n v="0.43238993710691825"/>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2.1"/>
    <n v="497.9"/>
    <n v="0.4217714400482025"/>
  </r>
  <r>
    <x v="1"/>
    <s v="Emi"/>
    <n v="2"/>
    <m/>
    <n v="455"/>
    <n v="1.4"/>
    <n v="453.6"/>
    <n v="0.30864197530864196"/>
  </r>
  <r>
    <x v="1"/>
    <s v="Emi"/>
    <n v="3"/>
    <m/>
    <n v="686"/>
    <n v="1.5"/>
    <n v="684.5"/>
    <n v="0.21913805697589481"/>
  </r>
  <r>
    <x v="1"/>
    <s v="Emi"/>
    <n v="4"/>
    <m/>
    <n v="450"/>
    <n v="1.3"/>
    <n v="448.7"/>
    <n v="0.28972587474927569"/>
  </r>
  <r>
    <x v="1"/>
    <s v="Emi"/>
    <n v="5"/>
    <m/>
    <n v="330"/>
    <n v="0.8"/>
    <n v="329.2"/>
    <n v="0.24301336573511545"/>
  </r>
  <r>
    <x v="7"/>
    <s v="Ho'onui"/>
    <n v="1"/>
    <m/>
    <n v="500"/>
    <n v="2.2000000000000002"/>
    <n v="497.8"/>
    <n v="0.44194455604660504"/>
  </r>
  <r>
    <x v="1"/>
    <s v="Ho'onui"/>
    <n v="2"/>
    <m/>
    <n v="455"/>
    <n v="2.4"/>
    <n v="452.6"/>
    <n v="0.53026955368979223"/>
  </r>
  <r>
    <x v="1"/>
    <s v="Ho'onui"/>
    <n v="3"/>
    <m/>
    <n v="686"/>
    <n v="1.8"/>
    <n v="684.2"/>
    <n v="0.26308097047646883"/>
  </r>
  <r>
    <x v="1"/>
    <s v="Ho'onui"/>
    <n v="4"/>
    <m/>
    <n v="450"/>
    <n v="2.4"/>
    <n v="447.6"/>
    <n v="0.53619302949061654"/>
  </r>
  <r>
    <x v="1"/>
    <s v="Ho'onui"/>
    <n v="5"/>
    <m/>
    <n v="330"/>
    <n v="1.2"/>
    <n v="328.8"/>
    <n v="0.36496350364963503"/>
  </r>
  <r>
    <x v="1"/>
    <s v="Poepoe"/>
    <n v="1"/>
    <m/>
    <n v="511"/>
    <n v="1.2"/>
    <n v="509.8"/>
    <n v="0.23538642604943114"/>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2.1"/>
    <n v="497.9"/>
    <n v="0.4217714400482025"/>
  </r>
  <r>
    <x v="1"/>
    <s v="Emi"/>
    <n v="2"/>
    <m/>
    <n v="455"/>
    <n v="1.4"/>
    <n v="453.6"/>
    <n v="0.30864197530864196"/>
  </r>
  <r>
    <x v="1"/>
    <s v="Emi"/>
    <n v="3"/>
    <m/>
    <n v="686"/>
    <n v="1.5"/>
    <n v="684.5"/>
    <n v="0.21913805697589481"/>
  </r>
  <r>
    <x v="1"/>
    <s v="Emi"/>
    <n v="4"/>
    <m/>
    <n v="450"/>
    <n v="1.3"/>
    <n v="448.7"/>
    <n v="0.28972587474927569"/>
  </r>
  <r>
    <x v="1"/>
    <s v="Emi"/>
    <n v="5"/>
    <m/>
    <n v="330"/>
    <n v="0.8"/>
    <n v="329.2"/>
    <n v="0.24301336573511545"/>
  </r>
  <r>
    <x v="8"/>
    <s v="Ho'onui"/>
    <n v="1"/>
    <m/>
    <n v="500"/>
    <n v="2.2000000000000002"/>
    <n v="497.8"/>
    <n v="0.44194455604660504"/>
  </r>
  <r>
    <x v="1"/>
    <s v="Ho'onui"/>
    <n v="2"/>
    <m/>
    <n v="455"/>
    <n v="2.4"/>
    <n v="452.6"/>
    <n v="0.53026955368979223"/>
  </r>
  <r>
    <x v="1"/>
    <s v="Ho'onui"/>
    <n v="3"/>
    <m/>
    <n v="686"/>
    <n v="1.8"/>
    <n v="684.2"/>
    <n v="0.26308097047646883"/>
  </r>
  <r>
    <x v="1"/>
    <s v="Ho'onui"/>
    <n v="4"/>
    <m/>
    <n v="450"/>
    <n v="2.4"/>
    <n v="447.6"/>
    <n v="0.53619302949061654"/>
  </r>
  <r>
    <x v="1"/>
    <s v="Ho'onui"/>
    <n v="5"/>
    <m/>
    <n v="330"/>
    <n v="1.2"/>
    <n v="328.8"/>
    <n v="0.36496350364963503"/>
  </r>
  <r>
    <x v="1"/>
    <s v="Poepoe"/>
    <n v="1"/>
    <m/>
    <n v="511"/>
    <n v="2.2000000000000002"/>
    <n v="508.8"/>
    <n v="0.43238993710691825"/>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2.1"/>
    <n v="497.9"/>
    <n v="0.4217714400482025"/>
  </r>
  <r>
    <x v="1"/>
    <s v="Emi"/>
    <n v="2"/>
    <m/>
    <n v="455"/>
    <n v="1.4"/>
    <n v="453.6"/>
    <n v="0.30864197530864196"/>
  </r>
  <r>
    <x v="1"/>
    <s v="Emi"/>
    <n v="3"/>
    <m/>
    <n v="686"/>
    <n v="1.5"/>
    <n v="684.5"/>
    <n v="0.21913805697589481"/>
  </r>
  <r>
    <x v="1"/>
    <s v="Emi"/>
    <n v="4"/>
    <m/>
    <n v="450"/>
    <n v="1.3"/>
    <n v="448.7"/>
    <n v="0.28972587474927569"/>
  </r>
  <r>
    <x v="1"/>
    <s v="Emi"/>
    <n v="5"/>
    <m/>
    <n v="330"/>
    <n v="0.8"/>
    <n v="329.2"/>
    <n v="0.24301336573511545"/>
  </r>
  <r>
    <x v="9"/>
    <s v="Ho'onui"/>
    <n v="1"/>
    <m/>
    <n v="500"/>
    <n v="2.2000000000000002"/>
    <n v="497.8"/>
    <n v="0.44194455604660504"/>
  </r>
  <r>
    <x v="1"/>
    <s v="Ho'onui"/>
    <n v="2"/>
    <m/>
    <n v="455"/>
    <n v="2.4"/>
    <n v="452.6"/>
    <n v="0.53026955368979223"/>
  </r>
  <r>
    <x v="1"/>
    <s v="Ho'onui"/>
    <n v="3"/>
    <m/>
    <n v="686"/>
    <n v="1.8"/>
    <n v="684.2"/>
    <n v="0.26308097047646883"/>
  </r>
  <r>
    <x v="1"/>
    <s v="Ho'onui"/>
    <n v="4"/>
    <m/>
    <n v="450"/>
    <n v="2.4"/>
    <n v="447.6"/>
    <n v="0.53619302949061654"/>
  </r>
  <r>
    <x v="1"/>
    <s v="Ho'onui"/>
    <n v="5"/>
    <m/>
    <n v="330"/>
    <n v="1.2"/>
    <n v="328.8"/>
    <n v="0.36496350364963503"/>
  </r>
  <r>
    <x v="1"/>
    <s v="Poepoe"/>
    <n v="1"/>
    <m/>
    <n v="511"/>
    <n v="2.2000000000000002"/>
    <n v="508.8"/>
    <n v="0.43238993710691825"/>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2.1"/>
    <n v="497.9"/>
    <n v="0.4217714400482025"/>
  </r>
  <r>
    <x v="1"/>
    <s v="Emi"/>
    <n v="2"/>
    <m/>
    <n v="455"/>
    <n v="1.4"/>
    <n v="453.6"/>
    <n v="0.30864197530864196"/>
  </r>
  <r>
    <x v="1"/>
    <s v="Emi"/>
    <n v="3"/>
    <m/>
    <n v="686"/>
    <n v="1.5"/>
    <n v="684.5"/>
    <n v="0.21913805697589481"/>
  </r>
  <r>
    <x v="1"/>
    <s v="Emi"/>
    <n v="4"/>
    <m/>
    <n v="450"/>
    <n v="1.3"/>
    <n v="448.7"/>
    <n v="0.28972587474927569"/>
  </r>
  <r>
    <x v="1"/>
    <s v="Emi"/>
    <n v="5"/>
    <m/>
    <n v="330"/>
    <n v="0.8"/>
    <n v="329.2"/>
    <n v="0.24301336573511545"/>
  </r>
  <r>
    <x v="10"/>
    <s v="Ho'onui"/>
    <n v="1"/>
    <m/>
    <n v="500"/>
    <n v="2.2000000000000002"/>
    <n v="497.8"/>
    <n v="0.44194455604660504"/>
  </r>
  <r>
    <x v="1"/>
    <s v="Ho'onui"/>
    <n v="2"/>
    <m/>
    <n v="455"/>
    <n v="2.4"/>
    <n v="452.6"/>
    <n v="0.53026955368979223"/>
  </r>
  <r>
    <x v="1"/>
    <s v="Ho'onui"/>
    <n v="3"/>
    <m/>
    <n v="686"/>
    <n v="1.8"/>
    <n v="684.2"/>
    <n v="0.26308097047646883"/>
  </r>
  <r>
    <x v="1"/>
    <s v="Ho'onui"/>
    <n v="4"/>
    <m/>
    <n v="450"/>
    <n v="2.4"/>
    <n v="447.6"/>
    <n v="0.53619302949061654"/>
  </r>
  <r>
    <x v="1"/>
    <s v="Ho'onui"/>
    <n v="5"/>
    <m/>
    <n v="330"/>
    <n v="1.2"/>
    <n v="328.8"/>
    <n v="0.36496350364963503"/>
  </r>
  <r>
    <x v="1"/>
    <s v="Poepoe"/>
    <n v="1"/>
    <m/>
    <n v="511"/>
    <n v="2.2000000000000002"/>
    <n v="508.8"/>
    <n v="0.43238993710691825"/>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2.1"/>
    <n v="497.9"/>
    <n v="0.4217714400482025"/>
  </r>
  <r>
    <x v="1"/>
    <s v="Emi"/>
    <n v="2"/>
    <m/>
    <n v="455"/>
    <n v="1.4"/>
    <n v="453.6"/>
    <n v="0.30864197530864196"/>
  </r>
  <r>
    <x v="1"/>
    <s v="Emi"/>
    <n v="3"/>
    <m/>
    <n v="686"/>
    <n v="1.5"/>
    <n v="684.5"/>
    <n v="0.21913805697589481"/>
  </r>
  <r>
    <x v="1"/>
    <s v="Emi"/>
    <n v="4"/>
    <m/>
    <n v="450"/>
    <n v="1.3"/>
    <n v="448.7"/>
    <n v="0.28972587474927569"/>
  </r>
  <r>
    <x v="1"/>
    <s v="Emi"/>
    <n v="5"/>
    <m/>
    <n v="330"/>
    <n v="0.8"/>
    <n v="329.2"/>
    <n v="0.24301336573511545"/>
  </r>
  <r>
    <x v="11"/>
    <s v="Ho'onui"/>
    <n v="1"/>
    <m/>
    <n v="500"/>
    <n v="2.2000000000000002"/>
    <n v="497.8"/>
    <n v="0.44194455604660504"/>
  </r>
  <r>
    <x v="1"/>
    <s v="Ho'onui"/>
    <n v="2"/>
    <m/>
    <n v="455"/>
    <n v="2.4"/>
    <n v="452.6"/>
    <n v="0.53026955368979223"/>
  </r>
  <r>
    <x v="1"/>
    <s v="Ho'onui"/>
    <n v="3"/>
    <m/>
    <n v="686"/>
    <n v="1.8"/>
    <n v="684.2"/>
    <n v="0.26308097047646883"/>
  </r>
  <r>
    <x v="1"/>
    <s v="Ho'onui"/>
    <n v="4"/>
    <m/>
    <n v="450"/>
    <n v="2.4"/>
    <n v="447.6"/>
    <n v="0.53619302949061654"/>
  </r>
  <r>
    <x v="1"/>
    <s v="Ho'onui"/>
    <n v="5"/>
    <m/>
    <n v="330"/>
    <n v="1.2"/>
    <n v="328.8"/>
    <n v="0.36496350364963503"/>
  </r>
  <r>
    <x v="1"/>
    <s v="Poepoe"/>
    <n v="1"/>
    <m/>
    <n v="511"/>
    <n v="2.2000000000000002"/>
    <n v="508.8"/>
    <n v="0.43238993710691825"/>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2.1"/>
    <n v="497.9"/>
    <n v="0.4217714400482025"/>
  </r>
  <r>
    <x v="1"/>
    <s v="Emi"/>
    <n v="2"/>
    <m/>
    <n v="455"/>
    <n v="1.4"/>
    <n v="453.6"/>
    <n v="0.30864197530864196"/>
  </r>
  <r>
    <x v="1"/>
    <s v="Emi"/>
    <n v="3"/>
    <m/>
    <n v="686"/>
    <n v="1.5"/>
    <n v="684.5"/>
    <n v="0.21913805697589481"/>
  </r>
  <r>
    <x v="1"/>
    <s v="Emi"/>
    <n v="4"/>
    <m/>
    <n v="450"/>
    <n v="1.3"/>
    <n v="448.7"/>
    <n v="0.28972587474927569"/>
  </r>
  <r>
    <x v="1"/>
    <s v="Emi"/>
    <n v="5"/>
    <m/>
    <n v="330"/>
    <n v="0.8"/>
    <n v="329.2"/>
    <n v="0.24301336573511545"/>
  </r>
  <r>
    <x v="12"/>
    <s v="Ho'onui"/>
    <n v="1"/>
    <m/>
    <n v="500"/>
    <n v="2.2000000000000002"/>
    <n v="497.8"/>
    <n v="0.44194455604660504"/>
  </r>
  <r>
    <x v="1"/>
    <s v="Ho'onui"/>
    <n v="2"/>
    <m/>
    <n v="455"/>
    <n v="2.4"/>
    <n v="452.6"/>
    <n v="0.53026955368979223"/>
  </r>
  <r>
    <x v="1"/>
    <s v="Ho'onui"/>
    <n v="3"/>
    <m/>
    <n v="686"/>
    <n v="1.8"/>
    <n v="684.2"/>
    <n v="0.26308097047646883"/>
  </r>
  <r>
    <x v="1"/>
    <s v="Ho'onui"/>
    <n v="4"/>
    <m/>
    <n v="450"/>
    <n v="2.4"/>
    <n v="447.6"/>
    <n v="0.53619302949061654"/>
  </r>
  <r>
    <x v="1"/>
    <s v="Ho'onui"/>
    <n v="5"/>
    <m/>
    <n v="330"/>
    <n v="1.2"/>
    <n v="328.8"/>
    <n v="0.36496350364963503"/>
  </r>
  <r>
    <x v="1"/>
    <s v="Poepoe"/>
    <n v="1"/>
    <m/>
    <n v="511"/>
    <n v="2.2000000000000002"/>
    <n v="508.8"/>
    <n v="0.43238993710691825"/>
  </r>
  <r>
    <x v="1"/>
    <s v="Poepoe"/>
    <n v="2"/>
    <m/>
    <n v="445"/>
    <n v="2.4"/>
    <n v="442.6"/>
    <n v="0.54225033890646179"/>
  </r>
  <r>
    <x v="1"/>
    <s v="Poepoe"/>
    <n v="3"/>
    <m/>
    <n v="560"/>
    <n v="1.8"/>
    <n v="558.20000000000005"/>
    <n v="0.32246506628448585"/>
  </r>
  <r>
    <x v="1"/>
    <s v="Poepoe"/>
    <n v="4"/>
    <m/>
    <n v="450"/>
    <n v="2.4"/>
    <n v="447.6"/>
    <n v="0.53619302949061654"/>
  </r>
  <r>
    <x v="1"/>
    <s v="Poepoe"/>
    <n v="5"/>
    <m/>
    <n v="499"/>
    <n v="1.2"/>
    <n v="497.8"/>
    <n v="0.24106066693451184"/>
  </r>
  <r>
    <x v="1"/>
    <s v="Emi"/>
    <n v="1"/>
    <m/>
    <n v="500"/>
    <n v="2.1"/>
    <n v="497.9"/>
    <n v="0.4217714400482025"/>
  </r>
  <r>
    <x v="1"/>
    <s v="Emi"/>
    <n v="2"/>
    <m/>
    <n v="455"/>
    <n v="1.4"/>
    <n v="453.6"/>
    <n v="0.30864197530864196"/>
  </r>
  <r>
    <x v="1"/>
    <s v="Emi"/>
    <n v="3"/>
    <m/>
    <n v="686"/>
    <n v="1.5"/>
    <n v="684.5"/>
    <n v="0.21913805697589481"/>
  </r>
  <r>
    <x v="1"/>
    <s v="Emi"/>
    <n v="4"/>
    <m/>
    <n v="450"/>
    <n v="1.3"/>
    <n v="448.7"/>
    <n v="0.28972587474927569"/>
  </r>
  <r>
    <x v="1"/>
    <s v="Emi"/>
    <n v="5"/>
    <m/>
    <n v="330"/>
    <n v="0.8"/>
    <n v="329.2"/>
    <n v="0.24301336573511545"/>
  </r>
  <r>
    <x v="1"/>
    <m/>
    <m/>
    <m/>
    <m/>
    <m/>
    <m/>
    <m/>
  </r>
</pivotCacheRecords>
</file>

<file path=xl/pivotCache/pivotCacheRecords5.xml><?xml version="1.0" encoding="utf-8"?>
<pivotCacheRecords xmlns="http://schemas.openxmlformats.org/spreadsheetml/2006/main" xmlns:r="http://schemas.openxmlformats.org/officeDocument/2006/relationships" count="180">
  <r>
    <x v="0"/>
    <n v="1"/>
    <m/>
    <n v="511"/>
    <n v="2.2000000000000002"/>
    <n v="508.8"/>
    <n v="0.43238993710691825"/>
  </r>
  <r>
    <x v="0"/>
    <n v="2"/>
    <m/>
    <n v="445"/>
    <n v="2.4"/>
    <n v="442.6"/>
    <n v="0.54225033890646179"/>
  </r>
  <r>
    <x v="0"/>
    <n v="3"/>
    <m/>
    <n v="560"/>
    <n v="1.8"/>
    <n v="558.20000000000005"/>
    <n v="0.32246506628448585"/>
  </r>
  <r>
    <x v="0"/>
    <n v="4"/>
    <m/>
    <n v="450"/>
    <n v="2.4"/>
    <n v="447.6"/>
    <n v="0.53619302949061654"/>
  </r>
  <r>
    <x v="0"/>
    <n v="5"/>
    <m/>
    <n v="499"/>
    <n v="1.2"/>
    <n v="497.8"/>
    <n v="0.24106066693451184"/>
  </r>
  <r>
    <x v="1"/>
    <n v="1"/>
    <m/>
    <n v="500"/>
    <n v="2.2000000000000002"/>
    <n v="497.8"/>
    <n v="0.44194455604660504"/>
  </r>
  <r>
    <x v="1"/>
    <n v="2"/>
    <m/>
    <n v="455"/>
    <n v="2.4"/>
    <n v="452.6"/>
    <n v="0.53026955368979223"/>
  </r>
  <r>
    <x v="1"/>
    <n v="3"/>
    <m/>
    <n v="686"/>
    <n v="1.8"/>
    <n v="684.2"/>
    <n v="0.26308097047646883"/>
  </r>
  <r>
    <x v="1"/>
    <n v="4"/>
    <m/>
    <n v="450"/>
    <n v="2.4"/>
    <n v="447.6"/>
    <n v="0.53619302949061654"/>
  </r>
  <r>
    <x v="1"/>
    <n v="5"/>
    <m/>
    <n v="330"/>
    <n v="1.2"/>
    <n v="328.8"/>
    <n v="0.36496350364963503"/>
  </r>
  <r>
    <x v="2"/>
    <n v="1"/>
    <m/>
    <n v="500"/>
    <n v="2.1"/>
    <n v="497.9"/>
    <n v="0.4217714400482025"/>
  </r>
  <r>
    <x v="2"/>
    <n v="2"/>
    <m/>
    <n v="455"/>
    <n v="1.4"/>
    <n v="453.6"/>
    <n v="0.30864197530864196"/>
  </r>
  <r>
    <x v="2"/>
    <n v="3"/>
    <m/>
    <n v="686"/>
    <n v="1.5"/>
    <n v="684.5"/>
    <n v="0.21913805697589481"/>
  </r>
  <r>
    <x v="2"/>
    <n v="4"/>
    <m/>
    <n v="450"/>
    <n v="1.3"/>
    <n v="448.7"/>
    <n v="0.28972587474927569"/>
  </r>
  <r>
    <x v="2"/>
    <n v="5"/>
    <m/>
    <n v="330"/>
    <n v="0.8"/>
    <n v="329.2"/>
    <n v="0.24301336573511545"/>
  </r>
  <r>
    <x v="0"/>
    <n v="1"/>
    <m/>
    <n v="499"/>
    <n v="23.2"/>
    <n v="475.8"/>
    <n v="4.875998318621269"/>
  </r>
  <r>
    <x v="0"/>
    <n v="2"/>
    <m/>
    <n v="458"/>
    <n v="25.2"/>
    <n v="432.8"/>
    <n v="5.8225508317929755"/>
  </r>
  <r>
    <x v="0"/>
    <n v="3"/>
    <m/>
    <n v="600"/>
    <n v="36.4"/>
    <n v="563.6"/>
    <n v="6.4584811923349887"/>
  </r>
  <r>
    <x v="0"/>
    <n v="4"/>
    <m/>
    <n v="402"/>
    <n v="24.2"/>
    <n v="377.8"/>
    <n v="6.405505558496559"/>
  </r>
  <r>
    <x v="0"/>
    <n v="5"/>
    <m/>
    <n v="350"/>
    <n v="26.7"/>
    <n v="323.3"/>
    <n v="8.2585833591091848"/>
  </r>
  <r>
    <x v="1"/>
    <n v="1"/>
    <m/>
    <n v="499"/>
    <n v="2.1"/>
    <n v="496.9"/>
    <n v="0.42262024552223787"/>
  </r>
  <r>
    <x v="1"/>
    <n v="2"/>
    <m/>
    <n v="399"/>
    <n v="3"/>
    <n v="396"/>
    <n v="0.75757575757575757"/>
  </r>
  <r>
    <x v="1"/>
    <n v="3"/>
    <m/>
    <n v="566"/>
    <n v="1.8"/>
    <n v="564.20000000000005"/>
    <n v="0.31903580290677064"/>
  </r>
  <r>
    <x v="1"/>
    <n v="4"/>
    <m/>
    <n v="433"/>
    <n v="2.4"/>
    <n v="430.6"/>
    <n v="0.55736182071528095"/>
  </r>
  <r>
    <x v="1"/>
    <n v="5"/>
    <m/>
    <m/>
    <m/>
    <m/>
    <m/>
  </r>
  <r>
    <x v="2"/>
    <n v="1"/>
    <m/>
    <n v="499"/>
    <n v="2"/>
    <n v="497"/>
    <n v="0.4024144869215292"/>
  </r>
  <r>
    <x v="2"/>
    <n v="2"/>
    <m/>
    <n v="458"/>
    <n v="3"/>
    <n v="455"/>
    <n v="0.65934065934065933"/>
  </r>
  <r>
    <x v="2"/>
    <n v="3"/>
    <m/>
    <n v="600"/>
    <n v="4.4000000000000004"/>
    <n v="595.6"/>
    <n v="0.73875083948959031"/>
  </r>
  <r>
    <x v="2"/>
    <n v="4"/>
    <m/>
    <n v="402"/>
    <n v="2"/>
    <n v="400"/>
    <n v="0.5"/>
  </r>
  <r>
    <x v="2"/>
    <n v="5"/>
    <m/>
    <n v="350"/>
    <n v="1"/>
    <n v="349"/>
    <n v="0.28653295128939826"/>
  </r>
  <r>
    <x v="0"/>
    <n v="1"/>
    <m/>
    <n v="500"/>
    <n v="25.1"/>
    <n v="474.9"/>
    <n v="5.285323225942304"/>
  </r>
  <r>
    <x v="0"/>
    <n v="2"/>
    <m/>
    <n v="455"/>
    <n v="23.6"/>
    <n v="431.4"/>
    <n v="5.4705609643022717"/>
  </r>
  <r>
    <x v="0"/>
    <n v="3"/>
    <m/>
    <n v="686"/>
    <n v="30.1"/>
    <n v="655.9"/>
    <n v="4.5891141942369273"/>
  </r>
  <r>
    <x v="0"/>
    <n v="4"/>
    <m/>
    <n v="400"/>
    <n v="20.100000000000001"/>
    <n v="379.9"/>
    <n v="5.290866017372994"/>
  </r>
  <r>
    <x v="0"/>
    <n v="5"/>
    <m/>
    <n v="580"/>
    <n v="35.1"/>
    <n v="544.9"/>
    <n v="6.4415489080565242"/>
  </r>
  <r>
    <x v="1"/>
    <n v="1"/>
    <m/>
    <n v="511"/>
    <n v="2.2000000000000002"/>
    <n v="508.8"/>
    <n v="0.43238993710691825"/>
  </r>
  <r>
    <x v="1"/>
    <n v="2"/>
    <m/>
    <n v="445"/>
    <n v="2.4"/>
    <n v="442.6"/>
    <n v="0.54225033890646179"/>
  </r>
  <r>
    <x v="1"/>
    <n v="3"/>
    <m/>
    <n v="560"/>
    <n v="1.8"/>
    <n v="558.20000000000005"/>
    <n v="0.32246506628448585"/>
  </r>
  <r>
    <x v="1"/>
    <n v="4"/>
    <m/>
    <n v="450"/>
    <n v="2.4"/>
    <n v="447.6"/>
    <n v="0.53619302949061654"/>
  </r>
  <r>
    <x v="1"/>
    <n v="5"/>
    <m/>
    <n v="499"/>
    <n v="1.2"/>
    <n v="497.8"/>
    <n v="0.24106066693451184"/>
  </r>
  <r>
    <x v="2"/>
    <n v="1"/>
    <m/>
    <n v="500"/>
    <n v="5.0999999999999996"/>
    <n v="494.9"/>
    <n v="1.0305112143867448"/>
  </r>
  <r>
    <x v="2"/>
    <n v="2"/>
    <m/>
    <n v="455"/>
    <n v="4.2"/>
    <n v="450.8"/>
    <n v="0.93167701863354035"/>
  </r>
  <r>
    <x v="2"/>
    <n v="3"/>
    <m/>
    <n v="686"/>
    <n v="6.1"/>
    <n v="679.9"/>
    <n v="0.8971907633475511"/>
  </r>
  <r>
    <x v="2"/>
    <n v="4"/>
    <m/>
    <n v="450"/>
    <n v="4.5"/>
    <n v="445.5"/>
    <n v="1.0101010101010102"/>
  </r>
  <r>
    <x v="2"/>
    <n v="5"/>
    <m/>
    <n v="330"/>
    <n v="4.0999999999999996"/>
    <n v="325.89999999999998"/>
    <n v="1.2580546179809757"/>
  </r>
  <r>
    <x v="0"/>
    <n v="1"/>
    <m/>
    <n v="500"/>
    <n v="27.3"/>
    <n v="472.7"/>
    <n v="5.7753331922995557"/>
  </r>
  <r>
    <x v="0"/>
    <n v="2"/>
    <m/>
    <n v="455"/>
    <n v="23.5"/>
    <n v="431.5"/>
    <n v="5.4461181923522597"/>
  </r>
  <r>
    <x v="0"/>
    <n v="3"/>
    <m/>
    <n v="686"/>
    <n v="33.5"/>
    <n v="652.5"/>
    <n v="5.1340996168582373"/>
  </r>
  <r>
    <x v="0"/>
    <n v="4"/>
    <m/>
    <n v="450"/>
    <n v="26.1"/>
    <n v="423.9"/>
    <n v="6.1571125265392785"/>
  </r>
  <r>
    <x v="0"/>
    <n v="5"/>
    <m/>
    <n v="330"/>
    <n v="20.2"/>
    <n v="309.8"/>
    <n v="6.5203357004519038"/>
  </r>
  <r>
    <x v="1"/>
    <n v="1"/>
    <m/>
    <n v="511"/>
    <n v="2.2000000000000002"/>
    <n v="508.8"/>
    <n v="0.43238993710691825"/>
  </r>
  <r>
    <x v="1"/>
    <n v="2"/>
    <m/>
    <n v="445"/>
    <n v="2.4"/>
    <n v="442.6"/>
    <n v="0.54225033890646179"/>
  </r>
  <r>
    <x v="1"/>
    <n v="3"/>
    <m/>
    <n v="560"/>
    <n v="1.8"/>
    <n v="558.20000000000005"/>
    <n v="0.32246506628448585"/>
  </r>
  <r>
    <x v="1"/>
    <n v="4"/>
    <m/>
    <n v="450"/>
    <n v="2.4"/>
    <n v="447.6"/>
    <n v="0.53619302949061654"/>
  </r>
  <r>
    <x v="1"/>
    <n v="5"/>
    <m/>
    <n v="499"/>
    <n v="1.2"/>
    <n v="497.8"/>
    <n v="0.24106066693451184"/>
  </r>
  <r>
    <x v="2"/>
    <n v="1"/>
    <m/>
    <n v="500"/>
    <n v="5.0999999999999996"/>
    <n v="494.9"/>
    <n v="1.0305112143867448"/>
  </r>
  <r>
    <x v="2"/>
    <n v="2"/>
    <m/>
    <n v="455"/>
    <n v="4.2"/>
    <n v="450.8"/>
    <n v="0.93167701863354035"/>
  </r>
  <r>
    <x v="2"/>
    <n v="3"/>
    <m/>
    <n v="686"/>
    <n v="6.1"/>
    <n v="679.9"/>
    <n v="0.8971907633475511"/>
  </r>
  <r>
    <x v="2"/>
    <n v="4"/>
    <m/>
    <n v="450"/>
    <n v="4.5"/>
    <n v="445.5"/>
    <n v="1.0101010101010102"/>
  </r>
  <r>
    <x v="2"/>
    <n v="5"/>
    <m/>
    <n v="330"/>
    <n v="4.0999999999999996"/>
    <n v="325.89999999999998"/>
    <n v="1.2580546179809757"/>
  </r>
  <r>
    <x v="0"/>
    <n v="1"/>
    <m/>
    <n v="500"/>
    <n v="12.2"/>
    <n v="487.8"/>
    <n v="2.5010250102501024"/>
  </r>
  <r>
    <x v="0"/>
    <n v="2"/>
    <m/>
    <n v="455"/>
    <n v="11.4"/>
    <n v="443.6"/>
    <n v="2.5698827772768258"/>
  </r>
  <r>
    <x v="0"/>
    <n v="3"/>
    <m/>
    <n v="686"/>
    <n v="13.4"/>
    <n v="672.6"/>
    <n v="1.9922688076122508"/>
  </r>
  <r>
    <x v="0"/>
    <n v="4"/>
    <m/>
    <n v="450"/>
    <n v="9.9"/>
    <n v="440.1"/>
    <n v="2.2494887525562373"/>
  </r>
  <r>
    <x v="0"/>
    <n v="5"/>
    <m/>
    <n v="330"/>
    <n v="5.3"/>
    <n v="324.7"/>
    <n v="1.6322759470280259"/>
  </r>
  <r>
    <x v="1"/>
    <n v="1"/>
    <m/>
    <n v="511"/>
    <n v="2.2000000000000002"/>
    <n v="508.8"/>
    <n v="0.43238993710691825"/>
  </r>
  <r>
    <x v="1"/>
    <n v="2"/>
    <m/>
    <n v="445"/>
    <n v="2.4"/>
    <n v="442.6"/>
    <n v="0.54225033890646179"/>
  </r>
  <r>
    <x v="1"/>
    <n v="3"/>
    <m/>
    <n v="560"/>
    <n v="1.8"/>
    <n v="558.20000000000005"/>
    <n v="0.32246506628448585"/>
  </r>
  <r>
    <x v="1"/>
    <n v="4"/>
    <m/>
    <n v="450"/>
    <n v="2.4"/>
    <n v="447.6"/>
    <n v="0.53619302949061654"/>
  </r>
  <r>
    <x v="1"/>
    <n v="5"/>
    <m/>
    <n v="499"/>
    <n v="1.2"/>
    <n v="497.8"/>
    <n v="0.24106066693451184"/>
  </r>
  <r>
    <x v="2"/>
    <n v="1"/>
    <m/>
    <n v="500"/>
    <n v="2.1"/>
    <n v="497.9"/>
    <n v="0.4217714400482025"/>
  </r>
  <r>
    <x v="2"/>
    <n v="2"/>
    <m/>
    <n v="455"/>
    <n v="1.4"/>
    <n v="453.6"/>
    <n v="0.30864197530864196"/>
  </r>
  <r>
    <x v="2"/>
    <n v="3"/>
    <m/>
    <n v="686"/>
    <n v="1.5"/>
    <n v="684.5"/>
    <n v="0.21913805697589481"/>
  </r>
  <r>
    <x v="2"/>
    <n v="4"/>
    <m/>
    <n v="450"/>
    <n v="1.3"/>
    <n v="448.7"/>
    <n v="0.28972587474927569"/>
  </r>
  <r>
    <x v="2"/>
    <n v="5"/>
    <m/>
    <n v="330"/>
    <n v="0.8"/>
    <n v="329.2"/>
    <n v="0.24301336573511545"/>
  </r>
  <r>
    <x v="0"/>
    <n v="1"/>
    <m/>
    <n v="500"/>
    <n v="2.2000000000000002"/>
    <n v="497.8"/>
    <n v="0.44194455604660504"/>
  </r>
  <r>
    <x v="0"/>
    <n v="2"/>
    <m/>
    <n v="455"/>
    <n v="2.4"/>
    <n v="452.6"/>
    <n v="0.53026955368979223"/>
  </r>
  <r>
    <x v="0"/>
    <n v="3"/>
    <m/>
    <n v="686"/>
    <n v="1.8"/>
    <n v="684.2"/>
    <n v="0.26308097047646883"/>
  </r>
  <r>
    <x v="0"/>
    <n v="4"/>
    <m/>
    <n v="450"/>
    <n v="2.4"/>
    <n v="447.6"/>
    <n v="0.53619302949061654"/>
  </r>
  <r>
    <x v="0"/>
    <n v="5"/>
    <m/>
    <n v="330"/>
    <n v="1.2"/>
    <n v="328.8"/>
    <n v="0.36496350364963503"/>
  </r>
  <r>
    <x v="1"/>
    <n v="1"/>
    <m/>
    <n v="511"/>
    <n v="2.2000000000000002"/>
    <n v="508.8"/>
    <n v="0.43238993710691825"/>
  </r>
  <r>
    <x v="1"/>
    <n v="2"/>
    <m/>
    <n v="445"/>
    <n v="2.4"/>
    <n v="442.6"/>
    <n v="0.54225033890646179"/>
  </r>
  <r>
    <x v="1"/>
    <n v="3"/>
    <m/>
    <n v="560"/>
    <n v="1.8"/>
    <n v="558.20000000000005"/>
    <n v="0.32246506628448585"/>
  </r>
  <r>
    <x v="1"/>
    <n v="4"/>
    <m/>
    <n v="450"/>
    <n v="2.4"/>
    <n v="447.6"/>
    <n v="0.53619302949061654"/>
  </r>
  <r>
    <x v="1"/>
    <n v="5"/>
    <m/>
    <n v="499"/>
    <n v="1.2"/>
    <n v="497.8"/>
    <n v="0.24106066693451184"/>
  </r>
  <r>
    <x v="2"/>
    <n v="1"/>
    <m/>
    <n v="500"/>
    <n v="2.1"/>
    <n v="497.9"/>
    <n v="0.4217714400482025"/>
  </r>
  <r>
    <x v="2"/>
    <n v="2"/>
    <m/>
    <n v="455"/>
    <n v="1.4"/>
    <n v="453.6"/>
    <n v="0.30864197530864196"/>
  </r>
  <r>
    <x v="2"/>
    <n v="3"/>
    <m/>
    <n v="686"/>
    <n v="1.5"/>
    <n v="684.5"/>
    <n v="0.21913805697589481"/>
  </r>
  <r>
    <x v="2"/>
    <n v="4"/>
    <m/>
    <n v="450"/>
    <n v="1.3"/>
    <n v="448.7"/>
    <n v="0.28972587474927569"/>
  </r>
  <r>
    <x v="2"/>
    <n v="5"/>
    <m/>
    <n v="330"/>
    <n v="0.8"/>
    <n v="329.2"/>
    <n v="0.24301336573511545"/>
  </r>
  <r>
    <x v="0"/>
    <n v="1"/>
    <m/>
    <n v="500"/>
    <n v="2.2000000000000002"/>
    <n v="497.8"/>
    <n v="0.44194455604660504"/>
  </r>
  <r>
    <x v="0"/>
    <n v="2"/>
    <m/>
    <n v="455"/>
    <n v="2.4"/>
    <n v="452.6"/>
    <n v="0.53026955368979223"/>
  </r>
  <r>
    <x v="0"/>
    <n v="3"/>
    <m/>
    <n v="686"/>
    <n v="1.8"/>
    <n v="684.2"/>
    <n v="0.26308097047646883"/>
  </r>
  <r>
    <x v="0"/>
    <n v="4"/>
    <m/>
    <n v="450"/>
    <n v="2.4"/>
    <n v="447.6"/>
    <n v="0.53619302949061654"/>
  </r>
  <r>
    <x v="0"/>
    <n v="5"/>
    <m/>
    <n v="330"/>
    <n v="1.2"/>
    <n v="328.8"/>
    <n v="0.36496350364963503"/>
  </r>
  <r>
    <x v="1"/>
    <n v="1"/>
    <m/>
    <n v="511"/>
    <n v="1.2"/>
    <n v="509.8"/>
    <n v="0.23538642604943114"/>
  </r>
  <r>
    <x v="1"/>
    <n v="2"/>
    <m/>
    <n v="445"/>
    <n v="2.4"/>
    <n v="442.6"/>
    <n v="0.54225033890646179"/>
  </r>
  <r>
    <x v="1"/>
    <n v="3"/>
    <m/>
    <n v="560"/>
    <n v="1.8"/>
    <n v="558.20000000000005"/>
    <n v="0.32246506628448585"/>
  </r>
  <r>
    <x v="1"/>
    <n v="4"/>
    <m/>
    <n v="450"/>
    <n v="2.4"/>
    <n v="447.6"/>
    <n v="0.53619302949061654"/>
  </r>
  <r>
    <x v="1"/>
    <n v="5"/>
    <m/>
    <n v="499"/>
    <n v="1.2"/>
    <n v="497.8"/>
    <n v="0.24106066693451184"/>
  </r>
  <r>
    <x v="2"/>
    <n v="1"/>
    <m/>
    <n v="500"/>
    <n v="2.1"/>
    <n v="497.9"/>
    <n v="0.4217714400482025"/>
  </r>
  <r>
    <x v="2"/>
    <n v="2"/>
    <m/>
    <n v="455"/>
    <n v="1.4"/>
    <n v="453.6"/>
    <n v="0.30864197530864196"/>
  </r>
  <r>
    <x v="2"/>
    <n v="3"/>
    <m/>
    <n v="686"/>
    <n v="1.5"/>
    <n v="684.5"/>
    <n v="0.21913805697589481"/>
  </r>
  <r>
    <x v="2"/>
    <n v="4"/>
    <m/>
    <n v="450"/>
    <n v="1.3"/>
    <n v="448.7"/>
    <n v="0.28972587474927569"/>
  </r>
  <r>
    <x v="2"/>
    <n v="5"/>
    <m/>
    <n v="330"/>
    <n v="0.8"/>
    <n v="329.2"/>
    <n v="0.24301336573511545"/>
  </r>
  <r>
    <x v="0"/>
    <n v="1"/>
    <m/>
    <n v="500"/>
    <n v="2.2000000000000002"/>
    <n v="497.8"/>
    <n v="0.44194455604660504"/>
  </r>
  <r>
    <x v="0"/>
    <n v="2"/>
    <m/>
    <n v="455"/>
    <n v="2.4"/>
    <n v="452.6"/>
    <n v="0.53026955368979223"/>
  </r>
  <r>
    <x v="0"/>
    <n v="3"/>
    <m/>
    <n v="686"/>
    <n v="1.8"/>
    <n v="684.2"/>
    <n v="0.26308097047646883"/>
  </r>
  <r>
    <x v="0"/>
    <n v="4"/>
    <m/>
    <n v="450"/>
    <n v="2.4"/>
    <n v="447.6"/>
    <n v="0.53619302949061654"/>
  </r>
  <r>
    <x v="0"/>
    <n v="5"/>
    <m/>
    <n v="330"/>
    <n v="1.2"/>
    <n v="328.8"/>
    <n v="0.36496350364963503"/>
  </r>
  <r>
    <x v="1"/>
    <n v="1"/>
    <m/>
    <n v="511"/>
    <n v="2.2000000000000002"/>
    <n v="508.8"/>
    <n v="0.43238993710691825"/>
  </r>
  <r>
    <x v="1"/>
    <n v="2"/>
    <m/>
    <n v="445"/>
    <n v="2.4"/>
    <n v="442.6"/>
    <n v="0.54225033890646179"/>
  </r>
  <r>
    <x v="1"/>
    <n v="3"/>
    <m/>
    <n v="560"/>
    <n v="1.8"/>
    <n v="558.20000000000005"/>
    <n v="0.32246506628448585"/>
  </r>
  <r>
    <x v="1"/>
    <n v="4"/>
    <m/>
    <n v="450"/>
    <n v="2.4"/>
    <n v="447.6"/>
    <n v="0.53619302949061654"/>
  </r>
  <r>
    <x v="1"/>
    <n v="5"/>
    <m/>
    <n v="499"/>
    <n v="1.2"/>
    <n v="497.8"/>
    <n v="0.24106066693451184"/>
  </r>
  <r>
    <x v="2"/>
    <n v="1"/>
    <m/>
    <n v="500"/>
    <n v="2.1"/>
    <n v="497.9"/>
    <n v="0.4217714400482025"/>
  </r>
  <r>
    <x v="2"/>
    <n v="2"/>
    <m/>
    <n v="455"/>
    <n v="1.4"/>
    <n v="453.6"/>
    <n v="0.30864197530864196"/>
  </r>
  <r>
    <x v="2"/>
    <n v="3"/>
    <m/>
    <n v="686"/>
    <n v="1.5"/>
    <n v="684.5"/>
    <n v="0.21913805697589481"/>
  </r>
  <r>
    <x v="2"/>
    <n v="4"/>
    <m/>
    <n v="450"/>
    <n v="1.3"/>
    <n v="448.7"/>
    <n v="0.28972587474927569"/>
  </r>
  <r>
    <x v="2"/>
    <n v="5"/>
    <m/>
    <n v="330"/>
    <n v="0.8"/>
    <n v="329.2"/>
    <n v="0.24301336573511545"/>
  </r>
  <r>
    <x v="0"/>
    <n v="1"/>
    <m/>
    <n v="500"/>
    <n v="2.2000000000000002"/>
    <n v="497.8"/>
    <n v="0.44194455604660504"/>
  </r>
  <r>
    <x v="0"/>
    <n v="2"/>
    <m/>
    <n v="455"/>
    <n v="2.4"/>
    <n v="452.6"/>
    <n v="0.53026955368979223"/>
  </r>
  <r>
    <x v="0"/>
    <n v="3"/>
    <m/>
    <n v="686"/>
    <n v="1.8"/>
    <n v="684.2"/>
    <n v="0.26308097047646883"/>
  </r>
  <r>
    <x v="0"/>
    <n v="4"/>
    <m/>
    <n v="450"/>
    <n v="2.4"/>
    <n v="447.6"/>
    <n v="0.53619302949061654"/>
  </r>
  <r>
    <x v="0"/>
    <n v="5"/>
    <m/>
    <n v="330"/>
    <n v="1.2"/>
    <n v="328.8"/>
    <n v="0.36496350364963503"/>
  </r>
  <r>
    <x v="1"/>
    <n v="1"/>
    <m/>
    <n v="511"/>
    <n v="2.2000000000000002"/>
    <n v="508.8"/>
    <n v="0.43238993710691825"/>
  </r>
  <r>
    <x v="1"/>
    <n v="2"/>
    <m/>
    <n v="445"/>
    <n v="2.4"/>
    <n v="442.6"/>
    <n v="0.54225033890646179"/>
  </r>
  <r>
    <x v="1"/>
    <n v="3"/>
    <m/>
    <n v="560"/>
    <n v="1.8"/>
    <n v="558.20000000000005"/>
    <n v="0.32246506628448585"/>
  </r>
  <r>
    <x v="1"/>
    <n v="4"/>
    <m/>
    <n v="450"/>
    <n v="2.4"/>
    <n v="447.6"/>
    <n v="0.53619302949061654"/>
  </r>
  <r>
    <x v="1"/>
    <n v="5"/>
    <m/>
    <n v="499"/>
    <n v="1.2"/>
    <n v="497.8"/>
    <n v="0.24106066693451184"/>
  </r>
  <r>
    <x v="2"/>
    <n v="1"/>
    <m/>
    <n v="500"/>
    <n v="2.1"/>
    <n v="497.9"/>
    <n v="0.4217714400482025"/>
  </r>
  <r>
    <x v="2"/>
    <n v="2"/>
    <m/>
    <n v="455"/>
    <n v="1.4"/>
    <n v="453.6"/>
    <n v="0.30864197530864196"/>
  </r>
  <r>
    <x v="2"/>
    <n v="3"/>
    <m/>
    <n v="686"/>
    <n v="1.5"/>
    <n v="684.5"/>
    <n v="0.21913805697589481"/>
  </r>
  <r>
    <x v="2"/>
    <n v="4"/>
    <m/>
    <n v="450"/>
    <n v="1.3"/>
    <n v="448.7"/>
    <n v="0.28972587474927569"/>
  </r>
  <r>
    <x v="2"/>
    <n v="5"/>
    <m/>
    <n v="330"/>
    <n v="0.8"/>
    <n v="329.2"/>
    <n v="0.24301336573511545"/>
  </r>
  <r>
    <x v="0"/>
    <n v="1"/>
    <m/>
    <n v="500"/>
    <n v="2.2000000000000002"/>
    <n v="497.8"/>
    <n v="0.44194455604660504"/>
  </r>
  <r>
    <x v="0"/>
    <n v="2"/>
    <m/>
    <n v="455"/>
    <n v="2.4"/>
    <n v="452.6"/>
    <n v="0.53026955368979223"/>
  </r>
  <r>
    <x v="0"/>
    <n v="3"/>
    <m/>
    <n v="686"/>
    <n v="1.8"/>
    <n v="684.2"/>
    <n v="0.26308097047646883"/>
  </r>
  <r>
    <x v="0"/>
    <n v="4"/>
    <m/>
    <n v="450"/>
    <n v="2.4"/>
    <n v="447.6"/>
    <n v="0.53619302949061654"/>
  </r>
  <r>
    <x v="0"/>
    <n v="5"/>
    <m/>
    <n v="330"/>
    <n v="1.2"/>
    <n v="328.8"/>
    <n v="0.36496350364963503"/>
  </r>
  <r>
    <x v="1"/>
    <n v="1"/>
    <m/>
    <n v="511"/>
    <n v="2.2000000000000002"/>
    <n v="508.8"/>
    <n v="0.43238993710691825"/>
  </r>
  <r>
    <x v="1"/>
    <n v="2"/>
    <m/>
    <n v="445"/>
    <n v="2.4"/>
    <n v="442.6"/>
    <n v="0.54225033890646179"/>
  </r>
  <r>
    <x v="1"/>
    <n v="3"/>
    <m/>
    <n v="560"/>
    <n v="1.8"/>
    <n v="558.20000000000005"/>
    <n v="0.32246506628448585"/>
  </r>
  <r>
    <x v="1"/>
    <n v="4"/>
    <m/>
    <n v="450"/>
    <n v="2.4"/>
    <n v="447.6"/>
    <n v="0.53619302949061654"/>
  </r>
  <r>
    <x v="1"/>
    <n v="5"/>
    <m/>
    <n v="499"/>
    <n v="1.2"/>
    <n v="497.8"/>
    <n v="0.24106066693451184"/>
  </r>
  <r>
    <x v="2"/>
    <n v="1"/>
    <m/>
    <n v="500"/>
    <n v="2.1"/>
    <n v="497.9"/>
    <n v="0.4217714400482025"/>
  </r>
  <r>
    <x v="2"/>
    <n v="2"/>
    <m/>
    <n v="455"/>
    <n v="1.4"/>
    <n v="453.6"/>
    <n v="0.30864197530864196"/>
  </r>
  <r>
    <x v="2"/>
    <n v="3"/>
    <m/>
    <n v="686"/>
    <n v="1.5"/>
    <n v="684.5"/>
    <n v="0.21913805697589481"/>
  </r>
  <r>
    <x v="2"/>
    <n v="4"/>
    <m/>
    <n v="450"/>
    <n v="1.3"/>
    <n v="448.7"/>
    <n v="0.28972587474927569"/>
  </r>
  <r>
    <x v="2"/>
    <n v="5"/>
    <m/>
    <n v="330"/>
    <n v="0.8"/>
    <n v="329.2"/>
    <n v="0.24301336573511545"/>
  </r>
  <r>
    <x v="0"/>
    <n v="1"/>
    <m/>
    <n v="500"/>
    <n v="2.2000000000000002"/>
    <n v="497.8"/>
    <n v="0.44194455604660504"/>
  </r>
  <r>
    <x v="0"/>
    <n v="2"/>
    <m/>
    <n v="455"/>
    <n v="2.4"/>
    <n v="452.6"/>
    <n v="0.53026955368979223"/>
  </r>
  <r>
    <x v="0"/>
    <n v="3"/>
    <m/>
    <n v="686"/>
    <n v="1.8"/>
    <n v="684.2"/>
    <n v="0.26308097047646883"/>
  </r>
  <r>
    <x v="0"/>
    <n v="4"/>
    <m/>
    <n v="450"/>
    <n v="2.4"/>
    <n v="447.6"/>
    <n v="0.53619302949061654"/>
  </r>
  <r>
    <x v="0"/>
    <n v="5"/>
    <m/>
    <n v="330"/>
    <n v="1.2"/>
    <n v="328.8"/>
    <n v="0.36496350364963503"/>
  </r>
  <r>
    <x v="1"/>
    <n v="1"/>
    <m/>
    <n v="511"/>
    <n v="2.2000000000000002"/>
    <n v="508.8"/>
    <n v="0.43238993710691825"/>
  </r>
  <r>
    <x v="1"/>
    <n v="2"/>
    <m/>
    <n v="445"/>
    <n v="2.4"/>
    <n v="442.6"/>
    <n v="0.54225033890646179"/>
  </r>
  <r>
    <x v="1"/>
    <n v="3"/>
    <m/>
    <n v="560"/>
    <n v="1.8"/>
    <n v="558.20000000000005"/>
    <n v="0.32246506628448585"/>
  </r>
  <r>
    <x v="1"/>
    <n v="4"/>
    <m/>
    <n v="450"/>
    <n v="2.4"/>
    <n v="447.6"/>
    <n v="0.53619302949061654"/>
  </r>
  <r>
    <x v="1"/>
    <n v="5"/>
    <m/>
    <n v="499"/>
    <n v="1.2"/>
    <n v="497.8"/>
    <n v="0.24106066693451184"/>
  </r>
  <r>
    <x v="2"/>
    <n v="1"/>
    <m/>
    <n v="500"/>
    <n v="2.1"/>
    <n v="497.9"/>
    <n v="0.4217714400482025"/>
  </r>
  <r>
    <x v="2"/>
    <n v="2"/>
    <m/>
    <n v="455"/>
    <n v="1.4"/>
    <n v="453.6"/>
    <n v="0.30864197530864196"/>
  </r>
  <r>
    <x v="2"/>
    <n v="3"/>
    <m/>
    <n v="686"/>
    <n v="1.5"/>
    <n v="684.5"/>
    <n v="0.21913805697589481"/>
  </r>
  <r>
    <x v="2"/>
    <n v="4"/>
    <m/>
    <n v="450"/>
    <n v="1.3"/>
    <n v="448.7"/>
    <n v="0.28972587474927569"/>
  </r>
  <r>
    <x v="2"/>
    <n v="5"/>
    <m/>
    <n v="330"/>
    <n v="0.8"/>
    <n v="329.2"/>
    <n v="0.24301336573511545"/>
  </r>
  <r>
    <x v="0"/>
    <n v="1"/>
    <m/>
    <n v="500"/>
    <n v="2.2000000000000002"/>
    <n v="497.8"/>
    <n v="0.44194455604660504"/>
  </r>
  <r>
    <x v="0"/>
    <n v="2"/>
    <m/>
    <n v="455"/>
    <n v="2.4"/>
    <n v="452.6"/>
    <n v="0.53026955368979223"/>
  </r>
  <r>
    <x v="0"/>
    <n v="3"/>
    <m/>
    <n v="686"/>
    <n v="1.8"/>
    <n v="684.2"/>
    <n v="0.26308097047646883"/>
  </r>
  <r>
    <x v="0"/>
    <n v="4"/>
    <m/>
    <n v="450"/>
    <n v="2.4"/>
    <n v="447.6"/>
    <n v="0.53619302949061654"/>
  </r>
  <r>
    <x v="0"/>
    <n v="5"/>
    <m/>
    <n v="330"/>
    <n v="1.2"/>
    <n v="328.8"/>
    <n v="0.36496350364963503"/>
  </r>
  <r>
    <x v="1"/>
    <n v="1"/>
    <m/>
    <n v="511"/>
    <n v="2.2000000000000002"/>
    <n v="508.8"/>
    <n v="0.43238993710691825"/>
  </r>
  <r>
    <x v="1"/>
    <n v="2"/>
    <m/>
    <n v="445"/>
    <n v="2.4"/>
    <n v="442.6"/>
    <n v="0.54225033890646179"/>
  </r>
  <r>
    <x v="1"/>
    <n v="3"/>
    <m/>
    <n v="560"/>
    <n v="1.8"/>
    <n v="558.20000000000005"/>
    <n v="0.32246506628448585"/>
  </r>
  <r>
    <x v="1"/>
    <n v="4"/>
    <m/>
    <n v="450"/>
    <n v="2.4"/>
    <n v="447.6"/>
    <n v="0.53619302949061654"/>
  </r>
  <r>
    <x v="1"/>
    <n v="5"/>
    <m/>
    <n v="499"/>
    <n v="1.2"/>
    <n v="497.8"/>
    <n v="0.24106066693451184"/>
  </r>
  <r>
    <x v="2"/>
    <n v="1"/>
    <m/>
    <n v="500"/>
    <n v="2.1"/>
    <n v="497.9"/>
    <n v="0.4217714400482025"/>
  </r>
  <r>
    <x v="2"/>
    <n v="2"/>
    <m/>
    <n v="455"/>
    <n v="1.4"/>
    <n v="453.6"/>
    <n v="0.30864197530864196"/>
  </r>
  <r>
    <x v="2"/>
    <n v="3"/>
    <m/>
    <n v="686"/>
    <n v="1.5"/>
    <n v="684.5"/>
    <n v="0.21913805697589481"/>
  </r>
  <r>
    <x v="2"/>
    <n v="4"/>
    <m/>
    <n v="450"/>
    <n v="1.3"/>
    <n v="448.7"/>
    <n v="0.28972587474927569"/>
  </r>
  <r>
    <x v="2"/>
    <n v="5"/>
    <m/>
    <n v="330"/>
    <n v="0.8"/>
    <n v="329.2"/>
    <n v="0.243013365735115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J12:L25" firstHeaderRow="0" firstDataRow="1" firstDataCol="1"/>
  <pivotFields count="7">
    <pivotField dataField="1" showAll="0"/>
    <pivotField axis="axisRow" showAll="0">
      <items count="16">
        <item x="0"/>
        <item x="1"/>
        <item x="2"/>
        <item x="3"/>
        <item x="4"/>
        <item x="5"/>
        <item x="6"/>
        <item x="7"/>
        <item x="8"/>
        <item x="9"/>
        <item x="10"/>
        <item x="11"/>
        <item x="12"/>
        <item x="13"/>
        <item x="14"/>
        <item t="default"/>
      </items>
    </pivotField>
    <pivotField showAll="0"/>
    <pivotField showAll="0"/>
    <pivotField showAll="0"/>
    <pivotField showAll="0"/>
    <pivotField dataField="1" showAll="0"/>
  </pivotFields>
  <rowFields count="1">
    <field x="1"/>
  </rowFields>
  <rowItems count="13">
    <i>
      <x v="1"/>
    </i>
    <i>
      <x v="3"/>
    </i>
    <i>
      <x v="4"/>
    </i>
    <i>
      <x v="5"/>
    </i>
    <i>
      <x v="6"/>
    </i>
    <i>
      <x v="7"/>
    </i>
    <i>
      <x v="8"/>
    </i>
    <i>
      <x v="9"/>
    </i>
    <i>
      <x v="10"/>
    </i>
    <i>
      <x v="11"/>
    </i>
    <i>
      <x v="12"/>
    </i>
    <i>
      <x v="13"/>
    </i>
    <i t="grand">
      <x/>
    </i>
  </rowItems>
  <colFields count="1">
    <field x="-2"/>
  </colFields>
  <colItems count="2">
    <i>
      <x/>
    </i>
    <i i="1">
      <x v="1"/>
    </i>
  </colItems>
  <dataFields count="2">
    <dataField name="Sum of Maturity (0=immature, 1=mature)" fld="6" baseField="0" baseItem="0"/>
    <dataField name="Count of Fish" fld="0" subtotal="count" baseField="1"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J6:J7" firstHeaderRow="1" firstDataRow="1" firstDataCol="0"/>
  <pivotFields count="6">
    <pivotField showAll="0"/>
    <pivotField showAll="0">
      <items count="17">
        <item x="0"/>
        <item x="1"/>
        <item x="2"/>
        <item x="3"/>
        <item x="4"/>
        <item x="5"/>
        <item x="6"/>
        <item x="7"/>
        <item x="8"/>
        <item x="9"/>
        <item x="10"/>
        <item x="11"/>
        <item x="12"/>
        <item x="13"/>
        <item x="14"/>
        <item x="15"/>
        <item t="default"/>
      </items>
    </pivotField>
    <pivotField showAll="0"/>
    <pivotField showAll="0"/>
    <pivotField showAll="0"/>
    <pivotField dataField="1" showAll="0"/>
  </pivotFields>
  <rowItems count="1">
    <i/>
  </rowItems>
  <colItems count="1">
    <i/>
  </colItems>
  <dataFields count="1">
    <dataField name="Max of GSI (somatic/gonad weight*100)" fld="5" subtotal="max" baseField="0" baseItem="4060024"/>
  </dataFields>
  <formats count="5">
    <format dxfId="15">
      <pivotArea outline="0" collapsedLevelsAreSubtotals="1" fieldPosition="0"/>
    </format>
    <format dxfId="14">
      <pivotArea type="all" dataOnly="0" outline="0" fieldPosition="0"/>
    </format>
    <format dxfId="13">
      <pivotArea type="all" dataOnly="0" outline="0" fieldPosition="0"/>
    </format>
    <format dxfId="12">
      <pivotArea dataOnly="0" outline="0" axis="axisValues"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P8:Q21" firstHeaderRow="1" firstDataRow="1" firstDataCol="1"/>
  <pivotFields count="2">
    <pivotField axis="axisRow" showAll="0">
      <items count="13">
        <item x="0"/>
        <item x="1"/>
        <item x="2"/>
        <item x="3"/>
        <item x="4"/>
        <item x="5"/>
        <item x="6"/>
        <item x="7"/>
        <item x="8"/>
        <item x="9"/>
        <item x="10"/>
        <item x="11"/>
        <item t="default"/>
      </items>
    </pivotField>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um of Average of GSI (gonad weight/somatic weight*100)" fld="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MonthlyGSI" cacheId="1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rowHeaderCaption="Month">
  <location ref="A9:B23" firstHeaderRow="1" firstDataRow="1" firstDataCol="1"/>
  <pivotFields count="8">
    <pivotField axis="axisRow" showAll="0">
      <items count="14">
        <item x="0"/>
        <item x="2"/>
        <item x="3"/>
        <item x="4"/>
        <item x="5"/>
        <item x="6"/>
        <item x="7"/>
        <item x="8"/>
        <item x="9"/>
        <item x="10"/>
        <item x="11"/>
        <item x="12"/>
        <item x="1"/>
        <item t="default"/>
      </items>
    </pivotField>
    <pivotField showAll="0"/>
    <pivotField showAll="0"/>
    <pivotField showAll="0" defaultSubtotal="0"/>
    <pivotField showAll="0"/>
    <pivotField showAll="0"/>
    <pivotField showAll="0" defaultSubtotal="0"/>
    <pivotField dataField="1" showAll="0" defaultSubtotal="0"/>
  </pivotFields>
  <rowFields count="1">
    <field x="0"/>
  </rowFields>
  <rowItems count="14">
    <i>
      <x/>
    </i>
    <i>
      <x v="1"/>
    </i>
    <i>
      <x v="2"/>
    </i>
    <i>
      <x v="3"/>
    </i>
    <i>
      <x v="4"/>
    </i>
    <i>
      <x v="5"/>
    </i>
    <i>
      <x v="6"/>
    </i>
    <i>
      <x v="7"/>
    </i>
    <i>
      <x v="8"/>
    </i>
    <i>
      <x v="9"/>
    </i>
    <i>
      <x v="10"/>
    </i>
    <i>
      <x v="11"/>
    </i>
    <i>
      <x v="12"/>
    </i>
    <i t="grand">
      <x/>
    </i>
  </rowItems>
  <colItems count="1">
    <i/>
  </colItems>
  <dataFields count="1">
    <dataField name="Average of GSI (gonad weight/somatic weight*100)" fld="7" subtotal="average" baseField="0" baseItem="0"/>
  </dataFields>
  <formats count="1">
    <format dxfId="1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Anahulu" cacheId="19"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2:B16" firstHeaderRow="1" firstDataRow="1" firstDataCol="1"/>
  <pivotFields count="7">
    <pivotField axis="axisRow" showAll="0">
      <items count="4">
        <item x="2"/>
        <item x="0"/>
        <item x="1"/>
        <item t="default"/>
      </items>
    </pivotField>
    <pivotField showAll="0"/>
    <pivotField showAll="0"/>
    <pivotField showAll="0"/>
    <pivotField showAll="0"/>
    <pivotField showAll="0"/>
    <pivotField dataField="1" showAll="0"/>
  </pivotFields>
  <rowFields count="1">
    <field x="0"/>
  </rowFields>
  <rowItems count="4">
    <i>
      <x/>
    </i>
    <i>
      <x v="1"/>
    </i>
    <i>
      <x v="2"/>
    </i>
    <i t="grand">
      <x/>
    </i>
  </rowItems>
  <colItems count="1">
    <i/>
  </colItems>
  <dataFields count="1">
    <dataField name="Average of GSI (gonad weight/somatic weight*100)" fld="6" subtotal="average" baseField="0" baseItem="0" numFmtId="164"/>
  </dataFields>
  <formats count="10">
    <format dxfId="9">
      <pivotArea type="all" dataOnly="0" outline="0" fieldPosition="0"/>
    </format>
    <format dxfId="8">
      <pivotArea type="all" dataOnly="0" outline="0" fieldPosition="0"/>
    </format>
    <format dxfId="7">
      <pivotArea outline="0" collapsedLevelsAreSubtotals="1" fieldPosition="0"/>
    </format>
    <format dxfId="6">
      <pivotArea outline="0" collapsedLevelsAreSubtotals="1" fieldPosition="0"/>
    </format>
    <format dxfId="5">
      <pivotArea outline="0" collapsedLevelsAreSubtotals="1" fieldPosition="0"/>
    </format>
    <format dxfId="4">
      <pivotArea outline="0" collapsedLevelsAreSubtotals="1" fieldPosition="0"/>
    </format>
    <format dxfId="3">
      <pivotArea outline="0" collapsedLevelsAreSubtotals="1" fieldPosition="0"/>
    </format>
    <format dxfId="2">
      <pivotArea outline="0" collapsedLevelsAreSubtotals="1" fieldPosition="0"/>
    </format>
    <format dxfId="1">
      <pivotArea outline="0" collapsedLevelsAreSubtotals="1" fieldPosition="0"/>
    </format>
    <format dxfId="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ivotTable" Target="../pivotTables/pivotTable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200"/>
  <sheetViews>
    <sheetView workbookViewId="0">
      <selection activeCell="A6" sqref="A6"/>
    </sheetView>
  </sheetViews>
  <sheetFormatPr defaultRowHeight="15" x14ac:dyDescent="0.25"/>
  <cols>
    <col min="1" max="1" width="9.7109375" bestFit="1" customWidth="1"/>
    <col min="2" max="2" width="9.7109375" customWidth="1"/>
    <col min="3" max="4" width="12" customWidth="1"/>
    <col min="5" max="6" width="15.140625" customWidth="1"/>
    <col min="9" max="9" width="44.140625" customWidth="1"/>
  </cols>
  <sheetData>
    <row r="1" spans="1:9" ht="20.25" x14ac:dyDescent="0.3">
      <c r="A1" s="51" t="s">
        <v>62</v>
      </c>
      <c r="B1" s="51"/>
      <c r="C1" s="51"/>
      <c r="D1" s="51"/>
      <c r="E1" s="51"/>
      <c r="F1" s="51"/>
      <c r="G1" s="51"/>
      <c r="H1" s="51"/>
      <c r="I1" s="51"/>
    </row>
    <row r="2" spans="1:9" x14ac:dyDescent="0.25">
      <c r="A2" s="50" t="s">
        <v>77</v>
      </c>
      <c r="B2" s="50"/>
      <c r="C2" s="50"/>
      <c r="D2" s="50"/>
      <c r="E2" s="50"/>
      <c r="F2" s="50"/>
      <c r="G2" s="50"/>
      <c r="H2" s="50"/>
      <c r="I2" s="50"/>
    </row>
    <row r="3" spans="1:9" ht="39" customHeight="1" x14ac:dyDescent="0.25">
      <c r="A3" s="50"/>
      <c r="B3" s="50"/>
      <c r="C3" s="50"/>
      <c r="D3" s="50"/>
      <c r="E3" s="50"/>
      <c r="F3" s="50"/>
      <c r="G3" s="50"/>
      <c r="H3" s="50"/>
      <c r="I3" s="50"/>
    </row>
    <row r="5" spans="1:9" ht="45.75" x14ac:dyDescent="0.25">
      <c r="A5" s="34" t="s">
        <v>61</v>
      </c>
      <c r="B5" s="34" t="s">
        <v>0</v>
      </c>
      <c r="C5" s="34" t="s">
        <v>1</v>
      </c>
      <c r="D5" s="34" t="s">
        <v>63</v>
      </c>
      <c r="E5" s="34" t="s">
        <v>45</v>
      </c>
      <c r="F5" s="34" t="s">
        <v>64</v>
      </c>
      <c r="G5" s="19" t="s">
        <v>40</v>
      </c>
      <c r="H5" s="19" t="s">
        <v>41</v>
      </c>
      <c r="I5" s="19" t="s">
        <v>66</v>
      </c>
    </row>
    <row r="6" spans="1:9" x14ac:dyDescent="0.25">
      <c r="A6" s="35"/>
      <c r="B6" s="35" t="s">
        <v>2</v>
      </c>
      <c r="C6" t="s">
        <v>15</v>
      </c>
      <c r="D6" t="s">
        <v>67</v>
      </c>
      <c r="E6">
        <v>13.5</v>
      </c>
      <c r="F6" t="s">
        <v>65</v>
      </c>
      <c r="G6">
        <v>57</v>
      </c>
      <c r="H6">
        <v>0.14000000000000001</v>
      </c>
    </row>
    <row r="7" spans="1:9" x14ac:dyDescent="0.25">
      <c r="A7" s="35"/>
      <c r="B7" s="35" t="s">
        <v>2</v>
      </c>
      <c r="C7" t="s">
        <v>16</v>
      </c>
      <c r="D7" t="s">
        <v>67</v>
      </c>
      <c r="E7">
        <v>14.4</v>
      </c>
      <c r="F7" t="s">
        <v>65</v>
      </c>
      <c r="G7">
        <v>72</v>
      </c>
      <c r="H7">
        <v>2.5999999999999999E-2</v>
      </c>
    </row>
    <row r="8" spans="1:9" x14ac:dyDescent="0.25">
      <c r="A8" s="35"/>
      <c r="B8" s="35" t="s">
        <v>3</v>
      </c>
      <c r="C8" t="s">
        <v>14</v>
      </c>
      <c r="D8" t="s">
        <v>67</v>
      </c>
      <c r="E8">
        <v>14.5</v>
      </c>
      <c r="F8" t="s">
        <v>65</v>
      </c>
      <c r="G8">
        <v>74</v>
      </c>
      <c r="H8">
        <v>0.25</v>
      </c>
    </row>
    <row r="9" spans="1:9" x14ac:dyDescent="0.25">
      <c r="A9" s="35"/>
      <c r="B9" s="35" t="s">
        <v>3</v>
      </c>
      <c r="C9" t="s">
        <v>15</v>
      </c>
      <c r="D9" t="s">
        <v>67</v>
      </c>
      <c r="E9">
        <v>13.3</v>
      </c>
      <c r="F9" t="s">
        <v>65</v>
      </c>
      <c r="G9">
        <v>55</v>
      </c>
      <c r="H9">
        <v>0.25</v>
      </c>
    </row>
    <row r="10" spans="1:9" x14ac:dyDescent="0.25">
      <c r="A10" s="35"/>
      <c r="B10" s="35" t="s">
        <v>4</v>
      </c>
      <c r="C10" t="s">
        <v>16</v>
      </c>
      <c r="D10" t="s">
        <v>67</v>
      </c>
      <c r="E10">
        <v>11.7</v>
      </c>
      <c r="F10" t="s">
        <v>65</v>
      </c>
      <c r="G10">
        <v>39</v>
      </c>
      <c r="H10">
        <v>0.12</v>
      </c>
    </row>
    <row r="11" spans="1:9" x14ac:dyDescent="0.25">
      <c r="A11" s="35"/>
      <c r="B11" s="35" t="s">
        <v>4</v>
      </c>
      <c r="C11" t="s">
        <v>14</v>
      </c>
      <c r="D11" t="s">
        <v>67</v>
      </c>
      <c r="E11">
        <v>11.6</v>
      </c>
      <c r="F11" t="s">
        <v>65</v>
      </c>
      <c r="G11">
        <v>36.799999999999997</v>
      </c>
      <c r="H11">
        <v>0.1</v>
      </c>
    </row>
    <row r="12" spans="1:9" x14ac:dyDescent="0.25">
      <c r="A12" s="35"/>
      <c r="B12" s="35" t="s">
        <v>5</v>
      </c>
      <c r="C12" t="s">
        <v>15</v>
      </c>
      <c r="D12" t="s">
        <v>67</v>
      </c>
      <c r="E12">
        <v>11.9</v>
      </c>
      <c r="F12" t="s">
        <v>65</v>
      </c>
      <c r="G12">
        <v>41.3</v>
      </c>
      <c r="H12">
        <v>0.06</v>
      </c>
    </row>
    <row r="13" spans="1:9" x14ac:dyDescent="0.25">
      <c r="A13" s="35"/>
      <c r="B13" s="35" t="s">
        <v>5</v>
      </c>
      <c r="C13" t="s">
        <v>16</v>
      </c>
      <c r="D13" t="s">
        <v>67</v>
      </c>
      <c r="E13">
        <v>14.2</v>
      </c>
      <c r="F13" t="s">
        <v>65</v>
      </c>
      <c r="G13">
        <v>79.8</v>
      </c>
      <c r="H13">
        <v>0.13</v>
      </c>
    </row>
    <row r="14" spans="1:9" x14ac:dyDescent="0.25">
      <c r="A14" s="35"/>
      <c r="B14" s="35" t="s">
        <v>6</v>
      </c>
      <c r="C14" t="s">
        <v>14</v>
      </c>
      <c r="D14" t="s">
        <v>67</v>
      </c>
      <c r="E14">
        <v>9.5</v>
      </c>
      <c r="F14" t="s">
        <v>65</v>
      </c>
      <c r="G14">
        <v>23</v>
      </c>
      <c r="H14">
        <v>0.04</v>
      </c>
    </row>
    <row r="15" spans="1:9" x14ac:dyDescent="0.25">
      <c r="A15" s="35"/>
      <c r="B15" s="35" t="s">
        <v>6</v>
      </c>
      <c r="C15" t="s">
        <v>15</v>
      </c>
      <c r="D15" t="s">
        <v>67</v>
      </c>
      <c r="E15">
        <v>13</v>
      </c>
      <c r="F15" t="s">
        <v>65</v>
      </c>
      <c r="G15">
        <v>57</v>
      </c>
      <c r="H15">
        <v>0.11</v>
      </c>
    </row>
    <row r="16" spans="1:9" x14ac:dyDescent="0.25">
      <c r="A16" s="35"/>
      <c r="B16" s="35" t="s">
        <v>8</v>
      </c>
      <c r="C16" t="s">
        <v>16</v>
      </c>
      <c r="D16" t="s">
        <v>67</v>
      </c>
      <c r="E16">
        <v>11.5</v>
      </c>
      <c r="F16" t="s">
        <v>65</v>
      </c>
      <c r="G16">
        <v>38.049999999999997</v>
      </c>
      <c r="H16">
        <v>0.03</v>
      </c>
    </row>
    <row r="17" spans="1:8" x14ac:dyDescent="0.25">
      <c r="A17" s="35"/>
      <c r="B17" s="35" t="s">
        <v>8</v>
      </c>
      <c r="C17" t="s">
        <v>14</v>
      </c>
      <c r="D17" t="s">
        <v>67</v>
      </c>
      <c r="E17">
        <v>11.5</v>
      </c>
      <c r="F17" t="s">
        <v>65</v>
      </c>
      <c r="G17">
        <v>41.6</v>
      </c>
      <c r="H17">
        <v>0.01</v>
      </c>
    </row>
    <row r="18" spans="1:8" x14ac:dyDescent="0.25">
      <c r="A18" s="35"/>
      <c r="B18" s="35" t="s">
        <v>7</v>
      </c>
      <c r="C18" t="s">
        <v>15</v>
      </c>
      <c r="D18" t="s">
        <v>67</v>
      </c>
      <c r="E18">
        <v>12.4</v>
      </c>
      <c r="F18" t="s">
        <v>65</v>
      </c>
      <c r="G18">
        <v>46.57</v>
      </c>
      <c r="H18">
        <v>0.11</v>
      </c>
    </row>
    <row r="19" spans="1:8" x14ac:dyDescent="0.25">
      <c r="B19" s="35" t="s">
        <v>7</v>
      </c>
      <c r="C19" t="s">
        <v>16</v>
      </c>
      <c r="D19" t="s">
        <v>67</v>
      </c>
      <c r="E19">
        <v>16.5</v>
      </c>
      <c r="F19" t="s">
        <v>65</v>
      </c>
      <c r="G19">
        <v>91.65</v>
      </c>
      <c r="H19">
        <v>0.16</v>
      </c>
    </row>
    <row r="20" spans="1:8" x14ac:dyDescent="0.25">
      <c r="A20" s="35"/>
      <c r="B20" s="35" t="s">
        <v>9</v>
      </c>
      <c r="C20" t="s">
        <v>14</v>
      </c>
      <c r="D20" t="s">
        <v>67</v>
      </c>
      <c r="E20">
        <v>15</v>
      </c>
      <c r="F20" t="s">
        <v>65</v>
      </c>
      <c r="G20">
        <v>81.8</v>
      </c>
      <c r="H20">
        <v>0.18</v>
      </c>
    </row>
    <row r="21" spans="1:8" x14ac:dyDescent="0.25">
      <c r="A21" s="35"/>
      <c r="B21" s="35" t="s">
        <v>9</v>
      </c>
      <c r="C21" t="s">
        <v>15</v>
      </c>
      <c r="D21" t="s">
        <v>67</v>
      </c>
      <c r="E21">
        <v>14.1</v>
      </c>
      <c r="F21" t="s">
        <v>65</v>
      </c>
      <c r="G21">
        <v>77.569999999999993</v>
      </c>
      <c r="H21">
        <v>0.97</v>
      </c>
    </row>
    <row r="22" spans="1:8" x14ac:dyDescent="0.25">
      <c r="B22" s="35" t="s">
        <v>10</v>
      </c>
      <c r="C22" t="s">
        <v>16</v>
      </c>
      <c r="D22" t="s">
        <v>67</v>
      </c>
      <c r="E22">
        <v>13</v>
      </c>
      <c r="F22" t="s">
        <v>65</v>
      </c>
      <c r="G22">
        <v>58.72</v>
      </c>
      <c r="H22">
        <v>0.16</v>
      </c>
    </row>
    <row r="23" spans="1:8" x14ac:dyDescent="0.25">
      <c r="A23" s="35"/>
      <c r="B23" s="35" t="s">
        <v>10</v>
      </c>
      <c r="C23" t="s">
        <v>14</v>
      </c>
      <c r="D23" t="s">
        <v>67</v>
      </c>
      <c r="E23">
        <v>15.5</v>
      </c>
      <c r="F23" t="s">
        <v>65</v>
      </c>
      <c r="G23">
        <v>106.3</v>
      </c>
      <c r="H23">
        <v>3.93</v>
      </c>
    </row>
    <row r="24" spans="1:8" x14ac:dyDescent="0.25">
      <c r="A24" s="35"/>
      <c r="B24" s="35" t="s">
        <v>11</v>
      </c>
      <c r="C24" t="s">
        <v>15</v>
      </c>
      <c r="D24" t="s">
        <v>67</v>
      </c>
      <c r="E24">
        <v>16.5</v>
      </c>
      <c r="F24" t="s">
        <v>65</v>
      </c>
      <c r="G24">
        <v>131.59</v>
      </c>
      <c r="H24">
        <v>5.15</v>
      </c>
    </row>
    <row r="25" spans="1:8" x14ac:dyDescent="0.25">
      <c r="B25" s="35" t="s">
        <v>11</v>
      </c>
      <c r="C25" t="s">
        <v>16</v>
      </c>
      <c r="D25" t="s">
        <v>67</v>
      </c>
      <c r="E25">
        <v>17.399999999999999</v>
      </c>
      <c r="F25" t="s">
        <v>65</v>
      </c>
      <c r="G25">
        <v>145</v>
      </c>
      <c r="H25">
        <v>4.5599999999999996</v>
      </c>
    </row>
    <row r="26" spans="1:8" x14ac:dyDescent="0.25">
      <c r="A26" s="35"/>
      <c r="B26" s="35" t="s">
        <v>12</v>
      </c>
      <c r="C26" t="s">
        <v>14</v>
      </c>
      <c r="D26" t="s">
        <v>67</v>
      </c>
      <c r="E26">
        <v>19.2</v>
      </c>
      <c r="F26" t="s">
        <v>65</v>
      </c>
      <c r="G26">
        <v>181</v>
      </c>
      <c r="H26">
        <v>7.6</v>
      </c>
    </row>
    <row r="27" spans="1:8" x14ac:dyDescent="0.25">
      <c r="A27" s="35"/>
      <c r="B27" s="35" t="s">
        <v>12</v>
      </c>
      <c r="C27" t="s">
        <v>15</v>
      </c>
      <c r="D27" t="s">
        <v>67</v>
      </c>
      <c r="E27">
        <v>13</v>
      </c>
      <c r="F27" t="s">
        <v>65</v>
      </c>
      <c r="G27">
        <v>57</v>
      </c>
      <c r="H27">
        <v>0.5</v>
      </c>
    </row>
    <row r="28" spans="1:8" x14ac:dyDescent="0.25">
      <c r="A28" s="35"/>
      <c r="B28" s="35" t="s">
        <v>13</v>
      </c>
      <c r="C28" t="s">
        <v>16</v>
      </c>
      <c r="D28" t="s">
        <v>67</v>
      </c>
      <c r="E28">
        <v>17.5</v>
      </c>
      <c r="F28" t="s">
        <v>65</v>
      </c>
      <c r="G28">
        <v>139</v>
      </c>
      <c r="H28">
        <v>4.79</v>
      </c>
    </row>
    <row r="29" spans="1:8" x14ac:dyDescent="0.25">
      <c r="A29" s="35"/>
      <c r="B29" s="35" t="s">
        <v>13</v>
      </c>
      <c r="C29" t="s">
        <v>14</v>
      </c>
      <c r="D29" t="s">
        <v>67</v>
      </c>
      <c r="E29">
        <v>15</v>
      </c>
      <c r="F29" t="s">
        <v>65</v>
      </c>
      <c r="G29">
        <v>102</v>
      </c>
      <c r="H29">
        <v>0.45</v>
      </c>
    </row>
    <row r="30" spans="1:8" x14ac:dyDescent="0.25">
      <c r="A30" s="35"/>
      <c r="B30" s="35" t="s">
        <v>2</v>
      </c>
      <c r="C30" t="s">
        <v>15</v>
      </c>
      <c r="D30" t="s">
        <v>67</v>
      </c>
      <c r="E30">
        <v>14.5</v>
      </c>
      <c r="F30" t="s">
        <v>65</v>
      </c>
      <c r="G30">
        <v>79</v>
      </c>
      <c r="H30">
        <v>0.18</v>
      </c>
    </row>
    <row r="31" spans="1:8" x14ac:dyDescent="0.25">
      <c r="A31" s="35"/>
      <c r="B31" s="35" t="s">
        <v>2</v>
      </c>
      <c r="C31" t="s">
        <v>16</v>
      </c>
      <c r="D31" t="s">
        <v>67</v>
      </c>
      <c r="E31">
        <v>21</v>
      </c>
      <c r="F31" t="s">
        <v>65</v>
      </c>
      <c r="G31">
        <v>245</v>
      </c>
      <c r="H31">
        <v>26.18</v>
      </c>
    </row>
    <row r="32" spans="1:8" x14ac:dyDescent="0.25">
      <c r="B32" s="35" t="s">
        <v>3</v>
      </c>
      <c r="C32" t="s">
        <v>14</v>
      </c>
      <c r="D32" t="s">
        <v>67</v>
      </c>
      <c r="E32">
        <v>16.8</v>
      </c>
      <c r="F32" t="s">
        <v>65</v>
      </c>
      <c r="G32">
        <v>126</v>
      </c>
      <c r="H32">
        <v>18.04</v>
      </c>
    </row>
    <row r="33" spans="1:8" x14ac:dyDescent="0.25">
      <c r="A33" s="35"/>
      <c r="B33" s="35" t="s">
        <v>3</v>
      </c>
      <c r="C33" t="s">
        <v>15</v>
      </c>
      <c r="D33" t="s">
        <v>67</v>
      </c>
      <c r="E33">
        <v>17.600000000000001</v>
      </c>
      <c r="F33" t="s">
        <v>65</v>
      </c>
      <c r="G33">
        <v>161</v>
      </c>
      <c r="H33">
        <v>26.24</v>
      </c>
    </row>
    <row r="34" spans="1:8" x14ac:dyDescent="0.25">
      <c r="A34" s="35"/>
      <c r="B34" s="35" t="s">
        <v>4</v>
      </c>
      <c r="C34" t="s">
        <v>16</v>
      </c>
      <c r="D34" t="s">
        <v>67</v>
      </c>
      <c r="E34">
        <v>18.8</v>
      </c>
      <c r="F34" t="s">
        <v>65</v>
      </c>
      <c r="G34">
        <v>151.82</v>
      </c>
      <c r="H34">
        <v>3.11</v>
      </c>
    </row>
    <row r="35" spans="1:8" x14ac:dyDescent="0.25">
      <c r="A35" s="35"/>
      <c r="B35" s="35" t="s">
        <v>4</v>
      </c>
      <c r="C35" t="s">
        <v>14</v>
      </c>
      <c r="D35" t="s">
        <v>67</v>
      </c>
      <c r="E35">
        <v>16.5</v>
      </c>
      <c r="F35" t="s">
        <v>65</v>
      </c>
      <c r="G35">
        <v>116</v>
      </c>
      <c r="H35">
        <v>3.13</v>
      </c>
    </row>
    <row r="36" spans="1:8" x14ac:dyDescent="0.25">
      <c r="B36" s="35" t="s">
        <v>5</v>
      </c>
      <c r="C36" t="s">
        <v>15</v>
      </c>
      <c r="D36" t="s">
        <v>67</v>
      </c>
      <c r="E36">
        <v>14.9</v>
      </c>
      <c r="F36" t="s">
        <v>65</v>
      </c>
      <c r="G36">
        <v>85</v>
      </c>
      <c r="H36">
        <v>1.35</v>
      </c>
    </row>
    <row r="37" spans="1:8" x14ac:dyDescent="0.25">
      <c r="B37" s="35" t="s">
        <v>5</v>
      </c>
      <c r="C37" t="s">
        <v>16</v>
      </c>
      <c r="D37" t="s">
        <v>67</v>
      </c>
      <c r="E37">
        <v>20.6</v>
      </c>
      <c r="F37" t="s">
        <v>65</v>
      </c>
      <c r="G37">
        <v>133</v>
      </c>
      <c r="H37">
        <v>7.16</v>
      </c>
    </row>
    <row r="38" spans="1:8" x14ac:dyDescent="0.25">
      <c r="A38" s="35"/>
      <c r="B38" s="35" t="s">
        <v>6</v>
      </c>
      <c r="C38" t="s">
        <v>14</v>
      </c>
      <c r="D38" t="s">
        <v>67</v>
      </c>
      <c r="E38">
        <v>16.5</v>
      </c>
      <c r="F38" t="s">
        <v>65</v>
      </c>
      <c r="G38">
        <v>127</v>
      </c>
      <c r="H38">
        <v>8.0500000000000007</v>
      </c>
    </row>
    <row r="39" spans="1:8" x14ac:dyDescent="0.25">
      <c r="B39" s="35" t="s">
        <v>6</v>
      </c>
      <c r="C39" t="s">
        <v>15</v>
      </c>
      <c r="D39" t="s">
        <v>67</v>
      </c>
      <c r="E39">
        <v>16</v>
      </c>
      <c r="F39" t="s">
        <v>65</v>
      </c>
      <c r="G39">
        <v>99</v>
      </c>
      <c r="H39">
        <v>8.0399999999999991</v>
      </c>
    </row>
    <row r="40" spans="1:8" x14ac:dyDescent="0.25">
      <c r="A40" s="35"/>
      <c r="B40" s="35" t="s">
        <v>8</v>
      </c>
      <c r="C40" t="s">
        <v>16</v>
      </c>
      <c r="D40" t="s">
        <v>67</v>
      </c>
      <c r="E40">
        <v>17.899999999999999</v>
      </c>
      <c r="F40" t="s">
        <v>65</v>
      </c>
      <c r="G40">
        <v>145.51</v>
      </c>
      <c r="H40">
        <v>7.33</v>
      </c>
    </row>
    <row r="41" spans="1:8" x14ac:dyDescent="0.25">
      <c r="A41" s="35"/>
      <c r="B41" s="35" t="s">
        <v>8</v>
      </c>
      <c r="C41" t="s">
        <v>14</v>
      </c>
      <c r="D41" t="s">
        <v>67</v>
      </c>
      <c r="E41">
        <v>17.5</v>
      </c>
      <c r="F41" t="s">
        <v>65</v>
      </c>
      <c r="G41">
        <v>142.72999999999999</v>
      </c>
      <c r="H41">
        <v>21.96</v>
      </c>
    </row>
    <row r="42" spans="1:8" x14ac:dyDescent="0.25">
      <c r="A42" s="35"/>
      <c r="B42" s="35" t="s">
        <v>7</v>
      </c>
      <c r="C42" t="s">
        <v>15</v>
      </c>
      <c r="D42" t="s">
        <v>67</v>
      </c>
      <c r="E42">
        <v>18.100000000000001</v>
      </c>
      <c r="F42" t="s">
        <v>65</v>
      </c>
      <c r="G42">
        <v>155.72999999999999</v>
      </c>
      <c r="H42">
        <v>20.41</v>
      </c>
    </row>
    <row r="43" spans="1:8" x14ac:dyDescent="0.25">
      <c r="A43" s="35"/>
      <c r="B43" s="35" t="s">
        <v>7</v>
      </c>
      <c r="C43" t="s">
        <v>16</v>
      </c>
      <c r="D43" t="s">
        <v>67</v>
      </c>
      <c r="E43">
        <v>16.8</v>
      </c>
      <c r="F43" t="s">
        <v>65</v>
      </c>
      <c r="G43">
        <v>123.05</v>
      </c>
      <c r="H43">
        <v>12.14</v>
      </c>
    </row>
    <row r="44" spans="1:8" x14ac:dyDescent="0.25">
      <c r="A44" s="35"/>
      <c r="B44" s="35" t="s">
        <v>9</v>
      </c>
      <c r="C44" t="s">
        <v>14</v>
      </c>
      <c r="D44" t="s">
        <v>67</v>
      </c>
      <c r="E44">
        <v>17.5</v>
      </c>
      <c r="F44" t="s">
        <v>65</v>
      </c>
      <c r="G44">
        <v>148.5</v>
      </c>
      <c r="H44">
        <v>17.46</v>
      </c>
    </row>
    <row r="45" spans="1:8" x14ac:dyDescent="0.25">
      <c r="A45" s="35"/>
      <c r="B45" s="35" t="s">
        <v>9</v>
      </c>
      <c r="C45" t="s">
        <v>15</v>
      </c>
      <c r="D45" t="s">
        <v>67</v>
      </c>
      <c r="E45">
        <v>15.7</v>
      </c>
      <c r="F45" t="s">
        <v>65</v>
      </c>
      <c r="G45">
        <v>106.42</v>
      </c>
      <c r="H45">
        <v>10.93</v>
      </c>
    </row>
    <row r="46" spans="1:8" x14ac:dyDescent="0.25">
      <c r="B46" s="35" t="s">
        <v>10</v>
      </c>
      <c r="C46" t="s">
        <v>16</v>
      </c>
      <c r="D46" t="s">
        <v>67</v>
      </c>
      <c r="E46">
        <v>17.8</v>
      </c>
      <c r="F46" t="s">
        <v>65</v>
      </c>
      <c r="G46">
        <v>141.91999999999999</v>
      </c>
      <c r="H46">
        <v>3.66</v>
      </c>
    </row>
    <row r="47" spans="1:8" x14ac:dyDescent="0.25">
      <c r="B47" s="35" t="s">
        <v>10</v>
      </c>
      <c r="C47" t="s">
        <v>14</v>
      </c>
      <c r="D47" t="s">
        <v>67</v>
      </c>
      <c r="E47">
        <v>20.8</v>
      </c>
      <c r="F47" t="s">
        <v>65</v>
      </c>
      <c r="G47">
        <v>223.92</v>
      </c>
      <c r="H47">
        <v>5.21</v>
      </c>
    </row>
    <row r="48" spans="1:8" x14ac:dyDescent="0.25">
      <c r="A48" s="35"/>
      <c r="B48" s="35" t="s">
        <v>11</v>
      </c>
      <c r="C48" t="s">
        <v>15</v>
      </c>
      <c r="D48" t="s">
        <v>67</v>
      </c>
      <c r="E48">
        <v>18.899999999999999</v>
      </c>
      <c r="F48" t="s">
        <v>65</v>
      </c>
      <c r="G48">
        <v>157.24</v>
      </c>
      <c r="H48">
        <v>3.25</v>
      </c>
    </row>
    <row r="49" spans="1:8" x14ac:dyDescent="0.25">
      <c r="B49" s="35" t="s">
        <v>11</v>
      </c>
      <c r="C49" t="s">
        <v>16</v>
      </c>
      <c r="D49" t="s">
        <v>67</v>
      </c>
      <c r="E49">
        <v>18</v>
      </c>
      <c r="F49" t="s">
        <v>65</v>
      </c>
      <c r="G49">
        <v>135.68</v>
      </c>
      <c r="H49">
        <v>2.44</v>
      </c>
    </row>
    <row r="50" spans="1:8" x14ac:dyDescent="0.25">
      <c r="B50" s="35" t="s">
        <v>12</v>
      </c>
      <c r="C50" t="s">
        <v>14</v>
      </c>
      <c r="D50" t="s">
        <v>67</v>
      </c>
      <c r="E50">
        <v>16.7</v>
      </c>
      <c r="F50" t="s">
        <v>65</v>
      </c>
      <c r="G50">
        <v>120.02</v>
      </c>
      <c r="H50">
        <v>2.88</v>
      </c>
    </row>
    <row r="51" spans="1:8" x14ac:dyDescent="0.25">
      <c r="B51" s="35" t="s">
        <v>12</v>
      </c>
      <c r="C51" t="s">
        <v>15</v>
      </c>
      <c r="D51" t="s">
        <v>67</v>
      </c>
      <c r="E51">
        <v>16</v>
      </c>
      <c r="F51" t="s">
        <v>65</v>
      </c>
      <c r="G51">
        <v>98.96</v>
      </c>
      <c r="H51">
        <v>2.98</v>
      </c>
    </row>
    <row r="52" spans="1:8" x14ac:dyDescent="0.25">
      <c r="B52" s="35" t="s">
        <v>13</v>
      </c>
      <c r="C52" t="s">
        <v>16</v>
      </c>
      <c r="D52" t="s">
        <v>67</v>
      </c>
      <c r="E52">
        <v>22.2</v>
      </c>
      <c r="F52" t="s">
        <v>65</v>
      </c>
      <c r="G52">
        <v>279</v>
      </c>
      <c r="H52">
        <v>13.81</v>
      </c>
    </row>
    <row r="53" spans="1:8" x14ac:dyDescent="0.25">
      <c r="A53" s="35"/>
      <c r="B53" s="35" t="s">
        <v>13</v>
      </c>
      <c r="C53" t="s">
        <v>14</v>
      </c>
      <c r="D53" t="s">
        <v>67</v>
      </c>
      <c r="E53">
        <v>18.3</v>
      </c>
      <c r="F53" t="s">
        <v>65</v>
      </c>
      <c r="G53">
        <v>164</v>
      </c>
      <c r="H53">
        <v>6.45</v>
      </c>
    </row>
    <row r="54" spans="1:8" x14ac:dyDescent="0.25">
      <c r="B54" s="35" t="s">
        <v>2</v>
      </c>
      <c r="C54" t="s">
        <v>15</v>
      </c>
      <c r="D54" t="s">
        <v>67</v>
      </c>
      <c r="E54">
        <v>16.5</v>
      </c>
      <c r="F54" t="s">
        <v>65</v>
      </c>
      <c r="G54">
        <v>131</v>
      </c>
      <c r="H54">
        <v>5.55</v>
      </c>
    </row>
    <row r="55" spans="1:8" x14ac:dyDescent="0.25">
      <c r="A55" s="35"/>
      <c r="B55" s="35" t="s">
        <v>2</v>
      </c>
      <c r="C55" t="s">
        <v>16</v>
      </c>
      <c r="D55" t="s">
        <v>67</v>
      </c>
      <c r="E55">
        <v>14.2</v>
      </c>
      <c r="F55" t="s">
        <v>65</v>
      </c>
      <c r="G55">
        <v>77</v>
      </c>
      <c r="H55">
        <v>2.02</v>
      </c>
    </row>
    <row r="56" spans="1:8" x14ac:dyDescent="0.25">
      <c r="A56" s="35"/>
      <c r="B56" s="35" t="s">
        <v>3</v>
      </c>
      <c r="C56" t="s">
        <v>14</v>
      </c>
      <c r="D56" t="s">
        <v>67</v>
      </c>
      <c r="E56">
        <v>18.100000000000001</v>
      </c>
      <c r="F56" t="s">
        <v>65</v>
      </c>
      <c r="G56">
        <v>111</v>
      </c>
      <c r="H56">
        <v>3.39</v>
      </c>
    </row>
    <row r="57" spans="1:8" x14ac:dyDescent="0.25">
      <c r="B57" s="35" t="s">
        <v>3</v>
      </c>
      <c r="C57" t="s">
        <v>15</v>
      </c>
      <c r="D57" t="s">
        <v>67</v>
      </c>
      <c r="E57">
        <v>15</v>
      </c>
      <c r="F57" t="s">
        <v>65</v>
      </c>
      <c r="G57">
        <v>90</v>
      </c>
      <c r="H57">
        <v>2.11</v>
      </c>
    </row>
    <row r="58" spans="1:8" x14ac:dyDescent="0.25">
      <c r="A58" s="35"/>
      <c r="B58" s="35" t="s">
        <v>4</v>
      </c>
      <c r="C58" t="s">
        <v>16</v>
      </c>
      <c r="D58" t="s">
        <v>67</v>
      </c>
      <c r="E58">
        <v>15.4</v>
      </c>
      <c r="F58" t="s">
        <v>65</v>
      </c>
      <c r="G58">
        <v>88</v>
      </c>
      <c r="H58">
        <v>2.4500000000000002</v>
      </c>
    </row>
    <row r="59" spans="1:8" x14ac:dyDescent="0.25">
      <c r="B59" s="35" t="s">
        <v>4</v>
      </c>
      <c r="C59" t="s">
        <v>14</v>
      </c>
      <c r="D59" t="s">
        <v>67</v>
      </c>
      <c r="E59">
        <v>14</v>
      </c>
      <c r="F59" t="s">
        <v>65</v>
      </c>
      <c r="G59">
        <v>67</v>
      </c>
      <c r="H59">
        <v>0.5</v>
      </c>
    </row>
    <row r="60" spans="1:8" x14ac:dyDescent="0.25">
      <c r="B60" s="35" t="s">
        <v>5</v>
      </c>
      <c r="C60" t="s">
        <v>15</v>
      </c>
      <c r="D60" t="s">
        <v>67</v>
      </c>
      <c r="E60">
        <v>17</v>
      </c>
      <c r="F60" t="s">
        <v>65</v>
      </c>
      <c r="G60">
        <v>111</v>
      </c>
      <c r="H60">
        <v>6.03</v>
      </c>
    </row>
    <row r="61" spans="1:8" x14ac:dyDescent="0.25">
      <c r="B61" s="35" t="s">
        <v>5</v>
      </c>
      <c r="C61" t="s">
        <v>16</v>
      </c>
      <c r="D61" t="s">
        <v>67</v>
      </c>
      <c r="E61">
        <v>14.8</v>
      </c>
      <c r="F61" t="s">
        <v>65</v>
      </c>
      <c r="G61">
        <v>85</v>
      </c>
      <c r="H61">
        <v>3.83</v>
      </c>
    </row>
    <row r="62" spans="1:8" x14ac:dyDescent="0.25">
      <c r="B62" s="35" t="s">
        <v>6</v>
      </c>
      <c r="C62" t="s">
        <v>14</v>
      </c>
      <c r="D62" t="s">
        <v>67</v>
      </c>
      <c r="E62">
        <v>14</v>
      </c>
      <c r="F62" t="s">
        <v>65</v>
      </c>
      <c r="G62">
        <v>70</v>
      </c>
      <c r="H62">
        <v>0.26</v>
      </c>
    </row>
    <row r="63" spans="1:8" x14ac:dyDescent="0.25">
      <c r="A63" s="35"/>
      <c r="B63" s="35" t="s">
        <v>6</v>
      </c>
      <c r="C63" t="s">
        <v>15</v>
      </c>
      <c r="D63" t="s">
        <v>67</v>
      </c>
      <c r="E63">
        <v>15.8</v>
      </c>
      <c r="F63" t="s">
        <v>65</v>
      </c>
      <c r="G63">
        <v>97</v>
      </c>
      <c r="H63">
        <v>2.4300000000000002</v>
      </c>
    </row>
    <row r="64" spans="1:8" x14ac:dyDescent="0.25">
      <c r="A64" s="35"/>
      <c r="B64" s="35" t="s">
        <v>8</v>
      </c>
      <c r="C64" t="s">
        <v>16</v>
      </c>
      <c r="D64" t="s">
        <v>67</v>
      </c>
      <c r="E64">
        <v>16.100000000000001</v>
      </c>
      <c r="F64" t="s">
        <v>65</v>
      </c>
      <c r="G64">
        <v>128</v>
      </c>
      <c r="H64">
        <v>3.58</v>
      </c>
    </row>
    <row r="65" spans="1:8" x14ac:dyDescent="0.25">
      <c r="A65" s="35"/>
      <c r="B65" s="35" t="s">
        <v>8</v>
      </c>
      <c r="C65" t="s">
        <v>14</v>
      </c>
      <c r="D65" t="s">
        <v>67</v>
      </c>
      <c r="E65">
        <v>16.7</v>
      </c>
      <c r="F65" t="s">
        <v>65</v>
      </c>
      <c r="G65">
        <v>111</v>
      </c>
      <c r="H65">
        <v>1.76</v>
      </c>
    </row>
    <row r="66" spans="1:8" x14ac:dyDescent="0.25">
      <c r="A66" s="35"/>
      <c r="B66" s="35" t="s">
        <v>7</v>
      </c>
      <c r="C66" t="s">
        <v>15</v>
      </c>
      <c r="D66" t="s">
        <v>67</v>
      </c>
      <c r="E66">
        <v>15.7</v>
      </c>
      <c r="F66" t="s">
        <v>65</v>
      </c>
      <c r="G66">
        <v>91</v>
      </c>
      <c r="H66">
        <v>0.5</v>
      </c>
    </row>
    <row r="67" spans="1:8" x14ac:dyDescent="0.25">
      <c r="A67" s="35"/>
      <c r="B67" s="35" t="s">
        <v>7</v>
      </c>
      <c r="C67" t="s">
        <v>16</v>
      </c>
      <c r="D67" t="s">
        <v>67</v>
      </c>
      <c r="E67">
        <v>14.7</v>
      </c>
      <c r="F67" t="s">
        <v>65</v>
      </c>
      <c r="G67">
        <v>79</v>
      </c>
      <c r="H67">
        <v>0.8</v>
      </c>
    </row>
    <row r="68" spans="1:8" x14ac:dyDescent="0.25">
      <c r="A68" s="35"/>
      <c r="B68" s="35" t="s">
        <v>9</v>
      </c>
      <c r="C68" t="s">
        <v>14</v>
      </c>
      <c r="D68" t="s">
        <v>67</v>
      </c>
      <c r="E68">
        <v>19.5</v>
      </c>
      <c r="F68" t="s">
        <v>65</v>
      </c>
      <c r="G68">
        <v>176</v>
      </c>
      <c r="H68">
        <v>2.79</v>
      </c>
    </row>
    <row r="69" spans="1:8" x14ac:dyDescent="0.25">
      <c r="A69" s="35"/>
      <c r="B69" s="35" t="s">
        <v>9</v>
      </c>
      <c r="C69" t="s">
        <v>15</v>
      </c>
      <c r="D69" t="s">
        <v>67</v>
      </c>
      <c r="E69">
        <v>16.399999999999999</v>
      </c>
      <c r="F69" t="s">
        <v>65</v>
      </c>
      <c r="G69">
        <v>107</v>
      </c>
      <c r="H69">
        <v>1.49</v>
      </c>
    </row>
    <row r="70" spans="1:8" x14ac:dyDescent="0.25">
      <c r="B70" s="35" t="s">
        <v>10</v>
      </c>
      <c r="C70" t="s">
        <v>16</v>
      </c>
      <c r="D70" t="s">
        <v>67</v>
      </c>
      <c r="E70">
        <v>15</v>
      </c>
      <c r="F70" t="s">
        <v>65</v>
      </c>
      <c r="G70">
        <v>70</v>
      </c>
      <c r="H70">
        <v>0.23</v>
      </c>
    </row>
    <row r="71" spans="1:8" x14ac:dyDescent="0.25">
      <c r="B71" s="35" t="s">
        <v>10</v>
      </c>
      <c r="C71" t="s">
        <v>14</v>
      </c>
      <c r="D71" t="s">
        <v>67</v>
      </c>
      <c r="E71">
        <v>15.1</v>
      </c>
      <c r="F71" t="s">
        <v>65</v>
      </c>
      <c r="G71">
        <v>84</v>
      </c>
      <c r="H71">
        <v>0.44</v>
      </c>
    </row>
    <row r="72" spans="1:8" x14ac:dyDescent="0.25">
      <c r="A72" s="35"/>
      <c r="B72" s="35" t="s">
        <v>11</v>
      </c>
      <c r="C72" t="s">
        <v>15</v>
      </c>
      <c r="D72" t="s">
        <v>67</v>
      </c>
      <c r="E72">
        <v>15.4</v>
      </c>
      <c r="F72" t="s">
        <v>65</v>
      </c>
      <c r="G72">
        <v>86</v>
      </c>
      <c r="H72">
        <v>7.1</v>
      </c>
    </row>
    <row r="73" spans="1:8" x14ac:dyDescent="0.25">
      <c r="A73" s="35"/>
      <c r="B73" s="35" t="s">
        <v>11</v>
      </c>
      <c r="C73" t="s">
        <v>16</v>
      </c>
      <c r="D73" t="s">
        <v>67</v>
      </c>
      <c r="E73">
        <v>16.8</v>
      </c>
      <c r="F73" t="s">
        <v>65</v>
      </c>
      <c r="G73">
        <v>111.8</v>
      </c>
      <c r="H73">
        <v>2.88</v>
      </c>
    </row>
    <row r="74" spans="1:8" x14ac:dyDescent="0.25">
      <c r="A74" s="35"/>
      <c r="B74" s="35" t="s">
        <v>12</v>
      </c>
      <c r="C74" t="s">
        <v>14</v>
      </c>
      <c r="D74" t="s">
        <v>67</v>
      </c>
      <c r="E74">
        <v>17.3</v>
      </c>
      <c r="F74" t="s">
        <v>65</v>
      </c>
      <c r="G74">
        <v>137.69999999999999</v>
      </c>
      <c r="H74">
        <v>8.77</v>
      </c>
    </row>
    <row r="75" spans="1:8" x14ac:dyDescent="0.25">
      <c r="A75" s="35"/>
      <c r="B75" s="35" t="s">
        <v>12</v>
      </c>
      <c r="C75" t="s">
        <v>15</v>
      </c>
      <c r="D75" t="s">
        <v>67</v>
      </c>
      <c r="E75">
        <v>16.5</v>
      </c>
      <c r="F75" t="s">
        <v>65</v>
      </c>
      <c r="G75">
        <v>106.1</v>
      </c>
      <c r="H75">
        <v>0.84</v>
      </c>
    </row>
    <row r="76" spans="1:8" x14ac:dyDescent="0.25">
      <c r="A76" s="35"/>
      <c r="B76" s="35" t="s">
        <v>13</v>
      </c>
      <c r="C76" t="s">
        <v>16</v>
      </c>
      <c r="D76" t="s">
        <v>67</v>
      </c>
      <c r="E76">
        <v>15.3</v>
      </c>
      <c r="F76" t="s">
        <v>65</v>
      </c>
      <c r="G76">
        <v>90.8</v>
      </c>
      <c r="H76">
        <v>0.33</v>
      </c>
    </row>
    <row r="77" spans="1:8" x14ac:dyDescent="0.25">
      <c r="B77" s="35" t="s">
        <v>13</v>
      </c>
      <c r="C77" t="s">
        <v>14</v>
      </c>
      <c r="D77" t="s">
        <v>67</v>
      </c>
      <c r="E77">
        <v>13.3</v>
      </c>
      <c r="F77" t="s">
        <v>65</v>
      </c>
      <c r="G77">
        <v>59.2</v>
      </c>
      <c r="H77">
        <v>0.3</v>
      </c>
    </row>
    <row r="78" spans="1:8" x14ac:dyDescent="0.25">
      <c r="A78" s="35"/>
      <c r="B78" s="35" t="s">
        <v>2</v>
      </c>
      <c r="C78" t="s">
        <v>15</v>
      </c>
      <c r="D78" t="s">
        <v>67</v>
      </c>
      <c r="E78">
        <v>18.399999999999999</v>
      </c>
      <c r="F78" t="s">
        <v>65</v>
      </c>
      <c r="G78">
        <v>161.30000000000001</v>
      </c>
      <c r="H78">
        <v>1.36</v>
      </c>
    </row>
    <row r="79" spans="1:8" x14ac:dyDescent="0.25">
      <c r="B79" s="35" t="s">
        <v>2</v>
      </c>
      <c r="C79" t="s">
        <v>16</v>
      </c>
      <c r="D79" t="s">
        <v>67</v>
      </c>
      <c r="E79">
        <v>16.8</v>
      </c>
      <c r="F79" t="s">
        <v>65</v>
      </c>
      <c r="G79">
        <v>135.9</v>
      </c>
      <c r="H79">
        <v>4.09</v>
      </c>
    </row>
    <row r="80" spans="1:8" x14ac:dyDescent="0.25">
      <c r="B80" s="35" t="s">
        <v>3</v>
      </c>
      <c r="C80" t="s">
        <v>14</v>
      </c>
      <c r="D80" t="s">
        <v>67</v>
      </c>
      <c r="E80">
        <v>16</v>
      </c>
      <c r="F80" t="s">
        <v>65</v>
      </c>
      <c r="G80">
        <v>114.5</v>
      </c>
      <c r="H80">
        <v>1.25</v>
      </c>
    </row>
    <row r="81" spans="1:8" x14ac:dyDescent="0.25">
      <c r="B81" s="35" t="s">
        <v>3</v>
      </c>
      <c r="C81" t="s">
        <v>15</v>
      </c>
      <c r="D81" t="s">
        <v>67</v>
      </c>
      <c r="E81">
        <v>14.7</v>
      </c>
      <c r="F81" t="s">
        <v>65</v>
      </c>
      <c r="G81">
        <v>92.7</v>
      </c>
      <c r="H81">
        <v>3.93</v>
      </c>
    </row>
    <row r="82" spans="1:8" x14ac:dyDescent="0.25">
      <c r="B82" s="35" t="s">
        <v>4</v>
      </c>
      <c r="C82" t="s">
        <v>16</v>
      </c>
      <c r="D82" t="s">
        <v>67</v>
      </c>
      <c r="E82">
        <v>13.8</v>
      </c>
      <c r="F82" t="s">
        <v>65</v>
      </c>
      <c r="G82">
        <v>69.5</v>
      </c>
      <c r="H82">
        <v>0.45</v>
      </c>
    </row>
    <row r="83" spans="1:8" x14ac:dyDescent="0.25">
      <c r="B83" s="35" t="s">
        <v>4</v>
      </c>
      <c r="C83" t="s">
        <v>14</v>
      </c>
      <c r="D83" t="s">
        <v>67</v>
      </c>
      <c r="E83">
        <v>15.7</v>
      </c>
      <c r="F83" t="s">
        <v>65</v>
      </c>
      <c r="G83">
        <v>99</v>
      </c>
      <c r="H83">
        <v>2.4900000000000002</v>
      </c>
    </row>
    <row r="84" spans="1:8" x14ac:dyDescent="0.25">
      <c r="A84" s="35"/>
      <c r="B84" s="35" t="s">
        <v>5</v>
      </c>
      <c r="C84" t="s">
        <v>15</v>
      </c>
      <c r="D84" t="s">
        <v>67</v>
      </c>
      <c r="E84">
        <v>15.9</v>
      </c>
      <c r="F84" t="s">
        <v>65</v>
      </c>
      <c r="G84">
        <v>93.5</v>
      </c>
      <c r="H84">
        <v>1.42</v>
      </c>
    </row>
    <row r="85" spans="1:8" x14ac:dyDescent="0.25">
      <c r="B85" s="35" t="s">
        <v>5</v>
      </c>
      <c r="C85" t="s">
        <v>16</v>
      </c>
      <c r="D85" t="s">
        <v>67</v>
      </c>
      <c r="E85">
        <v>18.8</v>
      </c>
      <c r="F85" t="s">
        <v>65</v>
      </c>
      <c r="G85">
        <v>184.4</v>
      </c>
      <c r="H85">
        <v>10.4</v>
      </c>
    </row>
    <row r="86" spans="1:8" x14ac:dyDescent="0.25">
      <c r="B86" s="35" t="s">
        <v>6</v>
      </c>
      <c r="C86" t="s">
        <v>14</v>
      </c>
      <c r="D86" t="s">
        <v>67</v>
      </c>
      <c r="E86">
        <v>15.9</v>
      </c>
      <c r="F86" t="s">
        <v>65</v>
      </c>
      <c r="G86">
        <v>97.3</v>
      </c>
      <c r="H86">
        <v>2.88</v>
      </c>
    </row>
    <row r="87" spans="1:8" x14ac:dyDescent="0.25">
      <c r="B87" s="35" t="s">
        <v>6</v>
      </c>
      <c r="C87" t="s">
        <v>15</v>
      </c>
      <c r="D87" t="s">
        <v>67</v>
      </c>
      <c r="E87">
        <v>18.600000000000001</v>
      </c>
      <c r="F87" t="s">
        <v>65</v>
      </c>
      <c r="G87">
        <v>164.6</v>
      </c>
      <c r="H87">
        <v>11.59</v>
      </c>
    </row>
    <row r="88" spans="1:8" x14ac:dyDescent="0.25">
      <c r="B88" s="35" t="s">
        <v>8</v>
      </c>
      <c r="C88" t="s">
        <v>16</v>
      </c>
      <c r="D88" t="s">
        <v>67</v>
      </c>
      <c r="E88">
        <v>12.7</v>
      </c>
      <c r="F88" t="s">
        <v>65</v>
      </c>
      <c r="G88">
        <v>52</v>
      </c>
      <c r="H88">
        <v>0.4</v>
      </c>
    </row>
    <row r="89" spans="1:8" x14ac:dyDescent="0.25">
      <c r="A89" s="35"/>
      <c r="B89" s="35" t="s">
        <v>8</v>
      </c>
      <c r="C89" t="s">
        <v>14</v>
      </c>
      <c r="D89" t="s">
        <v>67</v>
      </c>
      <c r="E89">
        <v>15.7</v>
      </c>
      <c r="F89" t="s">
        <v>65</v>
      </c>
      <c r="G89">
        <v>86</v>
      </c>
      <c r="H89">
        <v>1.04</v>
      </c>
    </row>
    <row r="90" spans="1:8" x14ac:dyDescent="0.25">
      <c r="A90" s="35"/>
      <c r="B90" s="35" t="s">
        <v>7</v>
      </c>
      <c r="C90" t="s">
        <v>15</v>
      </c>
      <c r="D90" t="s">
        <v>67</v>
      </c>
      <c r="E90">
        <v>17.8</v>
      </c>
      <c r="F90" t="s">
        <v>65</v>
      </c>
      <c r="G90">
        <v>157.1</v>
      </c>
      <c r="H90">
        <v>3</v>
      </c>
    </row>
    <row r="91" spans="1:8" x14ac:dyDescent="0.25">
      <c r="A91" s="35"/>
      <c r="B91" s="35" t="s">
        <v>7</v>
      </c>
      <c r="C91" t="s">
        <v>16</v>
      </c>
      <c r="D91" t="s">
        <v>67</v>
      </c>
      <c r="E91">
        <v>20.3</v>
      </c>
      <c r="F91" t="s">
        <v>65</v>
      </c>
      <c r="G91">
        <v>242.8</v>
      </c>
      <c r="H91">
        <v>29.43</v>
      </c>
    </row>
    <row r="92" spans="1:8" x14ac:dyDescent="0.25">
      <c r="A92" s="35"/>
      <c r="B92" s="35" t="s">
        <v>9</v>
      </c>
      <c r="C92" t="s">
        <v>14</v>
      </c>
      <c r="D92" t="s">
        <v>67</v>
      </c>
      <c r="E92">
        <v>16.899999999999999</v>
      </c>
      <c r="F92" t="s">
        <v>65</v>
      </c>
      <c r="G92">
        <v>139.5</v>
      </c>
      <c r="H92">
        <v>19.579999999999998</v>
      </c>
    </row>
    <row r="93" spans="1:8" x14ac:dyDescent="0.25">
      <c r="A93" s="35"/>
      <c r="B93" s="35" t="s">
        <v>9</v>
      </c>
      <c r="C93" t="s">
        <v>15</v>
      </c>
      <c r="D93" t="s">
        <v>67</v>
      </c>
      <c r="E93">
        <v>15.7</v>
      </c>
      <c r="F93" t="s">
        <v>65</v>
      </c>
      <c r="G93">
        <v>110.2</v>
      </c>
      <c r="H93">
        <v>19.329999999999998</v>
      </c>
    </row>
    <row r="94" spans="1:8" x14ac:dyDescent="0.25">
      <c r="A94" s="35"/>
      <c r="B94" s="35" t="s">
        <v>10</v>
      </c>
      <c r="C94" t="s">
        <v>16</v>
      </c>
      <c r="D94" t="s">
        <v>67</v>
      </c>
      <c r="E94">
        <v>17.5</v>
      </c>
      <c r="F94" t="s">
        <v>65</v>
      </c>
      <c r="G94">
        <v>148.80000000000001</v>
      </c>
      <c r="H94">
        <v>12.08</v>
      </c>
    </row>
    <row r="95" spans="1:8" x14ac:dyDescent="0.25">
      <c r="B95" s="35" t="s">
        <v>10</v>
      </c>
      <c r="C95" t="s">
        <v>14</v>
      </c>
      <c r="D95" t="s">
        <v>67</v>
      </c>
      <c r="E95">
        <v>15</v>
      </c>
      <c r="F95" t="s">
        <v>65</v>
      </c>
      <c r="G95">
        <v>84.61</v>
      </c>
      <c r="H95">
        <v>0.78</v>
      </c>
    </row>
    <row r="96" spans="1:8" x14ac:dyDescent="0.25">
      <c r="B96" s="35" t="s">
        <v>11</v>
      </c>
      <c r="C96" t="s">
        <v>15</v>
      </c>
      <c r="D96" t="s">
        <v>67</v>
      </c>
      <c r="E96">
        <v>16.7</v>
      </c>
      <c r="F96" t="s">
        <v>65</v>
      </c>
      <c r="G96">
        <v>122.8</v>
      </c>
      <c r="H96">
        <v>0.89</v>
      </c>
    </row>
    <row r="97" spans="1:8" x14ac:dyDescent="0.25">
      <c r="B97" s="35" t="s">
        <v>11</v>
      </c>
      <c r="C97" t="s">
        <v>16</v>
      </c>
      <c r="D97" t="s">
        <v>67</v>
      </c>
      <c r="E97">
        <v>17.5</v>
      </c>
      <c r="F97" t="s">
        <v>65</v>
      </c>
      <c r="G97">
        <v>137.9</v>
      </c>
      <c r="H97">
        <v>2.16</v>
      </c>
    </row>
    <row r="98" spans="1:8" x14ac:dyDescent="0.25">
      <c r="B98" s="35" t="s">
        <v>12</v>
      </c>
      <c r="C98" t="s">
        <v>14</v>
      </c>
      <c r="D98" t="s">
        <v>67</v>
      </c>
      <c r="E98">
        <v>15.7</v>
      </c>
      <c r="F98" t="s">
        <v>65</v>
      </c>
      <c r="G98">
        <v>107.7</v>
      </c>
      <c r="H98">
        <v>1.0900000000000001</v>
      </c>
    </row>
    <row r="99" spans="1:8" x14ac:dyDescent="0.25">
      <c r="B99" s="35" t="s">
        <v>12</v>
      </c>
      <c r="C99" t="s">
        <v>15</v>
      </c>
      <c r="D99" t="s">
        <v>67</v>
      </c>
      <c r="E99">
        <v>15</v>
      </c>
      <c r="F99" t="s">
        <v>65</v>
      </c>
      <c r="G99">
        <v>89.8</v>
      </c>
      <c r="H99">
        <v>0.26</v>
      </c>
    </row>
    <row r="100" spans="1:8" x14ac:dyDescent="0.25">
      <c r="A100" s="35"/>
      <c r="B100" s="35" t="s">
        <v>13</v>
      </c>
      <c r="C100" t="s">
        <v>16</v>
      </c>
      <c r="D100" t="s">
        <v>67</v>
      </c>
      <c r="E100">
        <v>13.3</v>
      </c>
      <c r="F100" t="s">
        <v>65</v>
      </c>
      <c r="G100">
        <v>65.3</v>
      </c>
      <c r="H100">
        <v>0.19</v>
      </c>
    </row>
    <row r="101" spans="1:8" x14ac:dyDescent="0.25">
      <c r="A101" s="35"/>
      <c r="B101" s="35" t="s">
        <v>13</v>
      </c>
      <c r="C101" t="s">
        <v>14</v>
      </c>
      <c r="D101" t="s">
        <v>67</v>
      </c>
      <c r="E101">
        <v>17.8</v>
      </c>
      <c r="F101" t="s">
        <v>65</v>
      </c>
      <c r="G101">
        <v>156.6</v>
      </c>
      <c r="H101">
        <v>3.76</v>
      </c>
    </row>
    <row r="102" spans="1:8" x14ac:dyDescent="0.25">
      <c r="A102" s="35"/>
      <c r="B102" s="35" t="s">
        <v>2</v>
      </c>
      <c r="C102" t="s">
        <v>15</v>
      </c>
      <c r="D102" t="s">
        <v>67</v>
      </c>
      <c r="E102">
        <v>20.399999999999999</v>
      </c>
      <c r="F102" t="s">
        <v>65</v>
      </c>
      <c r="G102">
        <v>203.2</v>
      </c>
      <c r="H102">
        <v>6.74</v>
      </c>
    </row>
    <row r="103" spans="1:8" x14ac:dyDescent="0.25">
      <c r="A103" s="35"/>
      <c r="B103" s="35" t="s">
        <v>2</v>
      </c>
      <c r="C103" t="s">
        <v>16</v>
      </c>
      <c r="D103" t="s">
        <v>67</v>
      </c>
      <c r="E103">
        <v>16</v>
      </c>
      <c r="F103" t="s">
        <v>65</v>
      </c>
      <c r="G103">
        <v>116.7</v>
      </c>
      <c r="H103">
        <v>1.03</v>
      </c>
    </row>
    <row r="104" spans="1:8" x14ac:dyDescent="0.25">
      <c r="A104" s="35"/>
      <c r="B104" s="35" t="s">
        <v>3</v>
      </c>
      <c r="C104" t="s">
        <v>14</v>
      </c>
      <c r="D104" t="s">
        <v>67</v>
      </c>
      <c r="E104">
        <v>17.2</v>
      </c>
      <c r="F104" t="s">
        <v>65</v>
      </c>
      <c r="G104">
        <v>149.30000000000001</v>
      </c>
      <c r="H104">
        <v>13.47</v>
      </c>
    </row>
    <row r="105" spans="1:8" x14ac:dyDescent="0.25">
      <c r="A105" s="35"/>
      <c r="B105" s="35" t="s">
        <v>3</v>
      </c>
      <c r="C105" t="s">
        <v>15</v>
      </c>
      <c r="D105" t="s">
        <v>67</v>
      </c>
      <c r="E105">
        <v>15.2</v>
      </c>
      <c r="F105" t="s">
        <v>65</v>
      </c>
      <c r="G105">
        <v>110.5</v>
      </c>
      <c r="H105">
        <v>12.35</v>
      </c>
    </row>
    <row r="106" spans="1:8" x14ac:dyDescent="0.25">
      <c r="A106" s="35"/>
      <c r="B106" s="35" t="s">
        <v>4</v>
      </c>
      <c r="C106" t="s">
        <v>16</v>
      </c>
      <c r="D106" t="s">
        <v>67</v>
      </c>
      <c r="E106">
        <v>13.5</v>
      </c>
      <c r="F106" t="s">
        <v>68</v>
      </c>
      <c r="G106">
        <v>57</v>
      </c>
      <c r="H106">
        <v>0.14000000000000001</v>
      </c>
    </row>
    <row r="107" spans="1:8" x14ac:dyDescent="0.25">
      <c r="A107" s="35"/>
      <c r="B107" s="35" t="s">
        <v>4</v>
      </c>
      <c r="C107" t="s">
        <v>14</v>
      </c>
      <c r="D107" t="s">
        <v>67</v>
      </c>
      <c r="E107">
        <v>14.4</v>
      </c>
      <c r="F107" t="s">
        <v>68</v>
      </c>
      <c r="G107">
        <v>72</v>
      </c>
      <c r="H107">
        <v>2.5999999999999999E-2</v>
      </c>
    </row>
    <row r="108" spans="1:8" x14ac:dyDescent="0.25">
      <c r="A108" s="35"/>
      <c r="B108" s="35" t="s">
        <v>5</v>
      </c>
      <c r="C108" t="s">
        <v>15</v>
      </c>
      <c r="D108" t="s">
        <v>67</v>
      </c>
      <c r="E108">
        <v>14.5</v>
      </c>
      <c r="F108" t="s">
        <v>68</v>
      </c>
      <c r="G108">
        <v>74</v>
      </c>
      <c r="H108">
        <v>0.25</v>
      </c>
    </row>
    <row r="109" spans="1:8" x14ac:dyDescent="0.25">
      <c r="B109" s="35" t="s">
        <v>5</v>
      </c>
      <c r="C109" t="s">
        <v>16</v>
      </c>
      <c r="D109" t="s">
        <v>67</v>
      </c>
      <c r="E109">
        <v>13.3</v>
      </c>
      <c r="F109" t="s">
        <v>68</v>
      </c>
      <c r="G109">
        <v>55</v>
      </c>
      <c r="H109">
        <v>0.25</v>
      </c>
    </row>
    <row r="110" spans="1:8" x14ac:dyDescent="0.25">
      <c r="B110" s="35" t="s">
        <v>6</v>
      </c>
      <c r="C110" t="s">
        <v>14</v>
      </c>
      <c r="D110" t="s">
        <v>67</v>
      </c>
      <c r="E110">
        <v>11.7</v>
      </c>
      <c r="F110" t="s">
        <v>68</v>
      </c>
      <c r="G110">
        <v>39</v>
      </c>
      <c r="H110">
        <v>0.12</v>
      </c>
    </row>
    <row r="111" spans="1:8" x14ac:dyDescent="0.25">
      <c r="B111" s="35" t="s">
        <v>6</v>
      </c>
      <c r="C111" t="s">
        <v>15</v>
      </c>
      <c r="D111" t="s">
        <v>67</v>
      </c>
      <c r="E111">
        <v>11.6</v>
      </c>
      <c r="F111" t="s">
        <v>68</v>
      </c>
      <c r="G111">
        <v>36.799999999999997</v>
      </c>
      <c r="H111">
        <v>0.1</v>
      </c>
    </row>
    <row r="112" spans="1:8" x14ac:dyDescent="0.25">
      <c r="B112" s="35" t="s">
        <v>8</v>
      </c>
      <c r="C112" t="s">
        <v>16</v>
      </c>
      <c r="D112" t="s">
        <v>67</v>
      </c>
      <c r="E112">
        <v>11.9</v>
      </c>
      <c r="F112" t="s">
        <v>68</v>
      </c>
      <c r="G112">
        <v>41.3</v>
      </c>
      <c r="H112">
        <v>0.06</v>
      </c>
    </row>
    <row r="113" spans="1:8" x14ac:dyDescent="0.25">
      <c r="B113" s="35" t="s">
        <v>8</v>
      </c>
      <c r="C113" t="s">
        <v>14</v>
      </c>
      <c r="D113" t="s">
        <v>67</v>
      </c>
      <c r="E113">
        <v>14.2</v>
      </c>
      <c r="F113" t="s">
        <v>68</v>
      </c>
      <c r="G113">
        <v>79.8</v>
      </c>
      <c r="H113">
        <v>0.13</v>
      </c>
    </row>
    <row r="114" spans="1:8" x14ac:dyDescent="0.25">
      <c r="B114" s="35" t="s">
        <v>7</v>
      </c>
      <c r="C114" t="s">
        <v>15</v>
      </c>
      <c r="D114" t="s">
        <v>67</v>
      </c>
      <c r="E114">
        <v>9.5</v>
      </c>
      <c r="F114" t="s">
        <v>68</v>
      </c>
      <c r="G114">
        <v>23</v>
      </c>
      <c r="H114">
        <v>0.04</v>
      </c>
    </row>
    <row r="115" spans="1:8" x14ac:dyDescent="0.25">
      <c r="B115" s="35" t="s">
        <v>7</v>
      </c>
      <c r="C115" t="s">
        <v>16</v>
      </c>
      <c r="D115" t="s">
        <v>67</v>
      </c>
      <c r="E115">
        <v>13</v>
      </c>
      <c r="F115" t="s">
        <v>68</v>
      </c>
      <c r="G115">
        <v>57</v>
      </c>
      <c r="H115">
        <v>0.11</v>
      </c>
    </row>
    <row r="116" spans="1:8" x14ac:dyDescent="0.25">
      <c r="B116" s="35" t="s">
        <v>9</v>
      </c>
      <c r="C116" t="s">
        <v>14</v>
      </c>
      <c r="D116" t="s">
        <v>67</v>
      </c>
      <c r="E116">
        <v>11.5</v>
      </c>
      <c r="F116" t="s">
        <v>68</v>
      </c>
      <c r="G116">
        <v>38.049999999999997</v>
      </c>
      <c r="H116">
        <v>0.03</v>
      </c>
    </row>
    <row r="117" spans="1:8" x14ac:dyDescent="0.25">
      <c r="B117" s="35" t="s">
        <v>9</v>
      </c>
      <c r="C117" t="s">
        <v>15</v>
      </c>
      <c r="D117" t="s">
        <v>67</v>
      </c>
      <c r="E117">
        <v>11.5</v>
      </c>
      <c r="F117" t="s">
        <v>68</v>
      </c>
      <c r="G117">
        <v>41.6</v>
      </c>
      <c r="H117">
        <v>0.01</v>
      </c>
    </row>
    <row r="118" spans="1:8" x14ac:dyDescent="0.25">
      <c r="A118" s="35"/>
      <c r="B118" s="35" t="s">
        <v>10</v>
      </c>
      <c r="C118" t="s">
        <v>16</v>
      </c>
      <c r="D118" t="s">
        <v>67</v>
      </c>
      <c r="E118">
        <v>12.4</v>
      </c>
      <c r="F118" t="s">
        <v>68</v>
      </c>
      <c r="G118">
        <v>46.57</v>
      </c>
      <c r="H118">
        <v>0.11</v>
      </c>
    </row>
    <row r="119" spans="1:8" x14ac:dyDescent="0.25">
      <c r="B119" s="35" t="s">
        <v>10</v>
      </c>
      <c r="C119" t="s">
        <v>14</v>
      </c>
      <c r="D119" t="s">
        <v>67</v>
      </c>
      <c r="E119">
        <v>16.5</v>
      </c>
      <c r="F119" t="s">
        <v>68</v>
      </c>
      <c r="G119">
        <v>91.65</v>
      </c>
      <c r="H119">
        <v>0.16</v>
      </c>
    </row>
    <row r="120" spans="1:8" x14ac:dyDescent="0.25">
      <c r="A120" s="35"/>
      <c r="B120" s="35" t="s">
        <v>11</v>
      </c>
      <c r="C120" t="s">
        <v>15</v>
      </c>
      <c r="D120" t="s">
        <v>67</v>
      </c>
      <c r="E120">
        <v>15</v>
      </c>
      <c r="F120" t="s">
        <v>68</v>
      </c>
      <c r="G120">
        <v>81.8</v>
      </c>
      <c r="H120">
        <v>0.18</v>
      </c>
    </row>
    <row r="121" spans="1:8" x14ac:dyDescent="0.25">
      <c r="A121" s="35"/>
      <c r="B121" s="35" t="s">
        <v>11</v>
      </c>
      <c r="C121" t="s">
        <v>16</v>
      </c>
      <c r="D121" t="s">
        <v>67</v>
      </c>
      <c r="E121">
        <v>14.1</v>
      </c>
      <c r="F121" t="s">
        <v>68</v>
      </c>
      <c r="G121">
        <v>77.569999999999993</v>
      </c>
      <c r="H121">
        <v>0.97</v>
      </c>
    </row>
    <row r="122" spans="1:8" x14ac:dyDescent="0.25">
      <c r="A122" s="35"/>
      <c r="B122" s="35" t="s">
        <v>12</v>
      </c>
      <c r="C122" t="s">
        <v>14</v>
      </c>
      <c r="D122" t="s">
        <v>67</v>
      </c>
      <c r="E122">
        <v>13</v>
      </c>
      <c r="F122" t="s">
        <v>68</v>
      </c>
      <c r="G122">
        <v>58.72</v>
      </c>
      <c r="H122">
        <v>0.16</v>
      </c>
    </row>
    <row r="123" spans="1:8" x14ac:dyDescent="0.25">
      <c r="A123" s="35"/>
      <c r="B123" s="35" t="s">
        <v>12</v>
      </c>
      <c r="C123" t="s">
        <v>15</v>
      </c>
      <c r="D123" t="s">
        <v>67</v>
      </c>
      <c r="E123">
        <v>15.5</v>
      </c>
      <c r="F123" t="s">
        <v>68</v>
      </c>
      <c r="G123">
        <v>106.3</v>
      </c>
      <c r="H123">
        <v>3.93</v>
      </c>
    </row>
    <row r="124" spans="1:8" x14ac:dyDescent="0.25">
      <c r="A124" s="35"/>
      <c r="B124" s="35" t="s">
        <v>13</v>
      </c>
      <c r="C124" t="s">
        <v>16</v>
      </c>
      <c r="D124" t="s">
        <v>67</v>
      </c>
      <c r="E124">
        <v>16.5</v>
      </c>
      <c r="F124" t="s">
        <v>68</v>
      </c>
      <c r="G124">
        <v>131.59</v>
      </c>
      <c r="H124">
        <v>5.15</v>
      </c>
    </row>
    <row r="125" spans="1:8" x14ac:dyDescent="0.25">
      <c r="A125" s="35"/>
      <c r="B125" s="35" t="s">
        <v>13</v>
      </c>
      <c r="C125" t="s">
        <v>14</v>
      </c>
      <c r="D125" t="s">
        <v>67</v>
      </c>
      <c r="E125">
        <v>17.399999999999999</v>
      </c>
      <c r="F125" t="s">
        <v>68</v>
      </c>
      <c r="G125">
        <v>145</v>
      </c>
      <c r="H125">
        <v>4.5599999999999996</v>
      </c>
    </row>
    <row r="126" spans="1:8" x14ac:dyDescent="0.25">
      <c r="B126" s="35" t="s">
        <v>2</v>
      </c>
      <c r="C126" t="s">
        <v>15</v>
      </c>
      <c r="D126" t="s">
        <v>67</v>
      </c>
      <c r="E126">
        <v>19.2</v>
      </c>
      <c r="F126" t="s">
        <v>68</v>
      </c>
      <c r="G126">
        <v>181</v>
      </c>
      <c r="H126">
        <v>7.6</v>
      </c>
    </row>
    <row r="127" spans="1:8" x14ac:dyDescent="0.25">
      <c r="A127" s="35"/>
      <c r="B127" s="35" t="s">
        <v>2</v>
      </c>
      <c r="C127" t="s">
        <v>16</v>
      </c>
      <c r="D127" t="s">
        <v>67</v>
      </c>
      <c r="E127">
        <v>13</v>
      </c>
      <c r="F127" t="s">
        <v>68</v>
      </c>
      <c r="G127">
        <v>57</v>
      </c>
      <c r="H127">
        <v>0.5</v>
      </c>
    </row>
    <row r="128" spans="1:8" x14ac:dyDescent="0.25">
      <c r="B128" s="35" t="s">
        <v>3</v>
      </c>
      <c r="C128" t="s">
        <v>14</v>
      </c>
      <c r="D128" t="s">
        <v>67</v>
      </c>
      <c r="E128">
        <v>17.5</v>
      </c>
      <c r="F128" t="s">
        <v>68</v>
      </c>
      <c r="G128">
        <v>139</v>
      </c>
      <c r="H128">
        <v>4.79</v>
      </c>
    </row>
    <row r="129" spans="1:8" x14ac:dyDescent="0.25">
      <c r="B129" s="35" t="s">
        <v>3</v>
      </c>
      <c r="C129" t="s">
        <v>15</v>
      </c>
      <c r="D129" t="s">
        <v>67</v>
      </c>
      <c r="E129">
        <v>15</v>
      </c>
      <c r="F129" t="s">
        <v>68</v>
      </c>
      <c r="G129">
        <v>102</v>
      </c>
      <c r="H129">
        <v>0.45</v>
      </c>
    </row>
    <row r="130" spans="1:8" x14ac:dyDescent="0.25">
      <c r="B130" s="35" t="s">
        <v>4</v>
      </c>
      <c r="C130" t="s">
        <v>16</v>
      </c>
      <c r="D130" t="s">
        <v>67</v>
      </c>
      <c r="E130">
        <v>14.5</v>
      </c>
      <c r="F130" t="s">
        <v>68</v>
      </c>
      <c r="G130">
        <v>79</v>
      </c>
      <c r="H130">
        <v>0.18</v>
      </c>
    </row>
    <row r="131" spans="1:8" x14ac:dyDescent="0.25">
      <c r="A131" s="35"/>
      <c r="B131" s="35" t="s">
        <v>4</v>
      </c>
      <c r="C131" t="s">
        <v>14</v>
      </c>
      <c r="D131" t="s">
        <v>67</v>
      </c>
      <c r="E131">
        <v>21</v>
      </c>
      <c r="F131" t="s">
        <v>68</v>
      </c>
      <c r="G131">
        <v>245</v>
      </c>
      <c r="H131">
        <v>26.18</v>
      </c>
    </row>
    <row r="132" spans="1:8" x14ac:dyDescent="0.25">
      <c r="A132" s="35"/>
      <c r="B132" s="35" t="s">
        <v>5</v>
      </c>
      <c r="C132" t="s">
        <v>15</v>
      </c>
      <c r="D132" t="s">
        <v>67</v>
      </c>
      <c r="E132">
        <v>16.8</v>
      </c>
      <c r="F132" t="s">
        <v>68</v>
      </c>
      <c r="G132">
        <v>126</v>
      </c>
      <c r="H132">
        <v>18.04</v>
      </c>
    </row>
    <row r="133" spans="1:8" x14ac:dyDescent="0.25">
      <c r="B133" s="35" t="s">
        <v>5</v>
      </c>
      <c r="C133" t="s">
        <v>16</v>
      </c>
      <c r="D133" t="s">
        <v>67</v>
      </c>
      <c r="E133">
        <v>17.600000000000001</v>
      </c>
      <c r="F133" t="s">
        <v>68</v>
      </c>
      <c r="G133">
        <v>161</v>
      </c>
      <c r="H133">
        <v>26.24</v>
      </c>
    </row>
    <row r="134" spans="1:8" x14ac:dyDescent="0.25">
      <c r="B134" s="35" t="s">
        <v>6</v>
      </c>
      <c r="C134" t="s">
        <v>14</v>
      </c>
      <c r="D134" t="s">
        <v>67</v>
      </c>
      <c r="E134">
        <v>18.8</v>
      </c>
      <c r="F134" t="s">
        <v>68</v>
      </c>
      <c r="G134">
        <v>151.82</v>
      </c>
      <c r="H134">
        <v>3.11</v>
      </c>
    </row>
    <row r="135" spans="1:8" x14ac:dyDescent="0.25">
      <c r="B135" s="35" t="s">
        <v>6</v>
      </c>
      <c r="C135" t="s">
        <v>15</v>
      </c>
      <c r="D135" t="s">
        <v>67</v>
      </c>
      <c r="E135">
        <v>16.5</v>
      </c>
      <c r="F135" t="s">
        <v>68</v>
      </c>
      <c r="G135">
        <v>116</v>
      </c>
      <c r="H135">
        <v>3.13</v>
      </c>
    </row>
    <row r="136" spans="1:8" x14ac:dyDescent="0.25">
      <c r="B136" s="35" t="s">
        <v>8</v>
      </c>
      <c r="C136" t="s">
        <v>16</v>
      </c>
      <c r="D136" t="s">
        <v>67</v>
      </c>
      <c r="E136">
        <v>14.9</v>
      </c>
      <c r="F136" t="s">
        <v>68</v>
      </c>
      <c r="G136">
        <v>85</v>
      </c>
      <c r="H136">
        <v>1.35</v>
      </c>
    </row>
    <row r="137" spans="1:8" x14ac:dyDescent="0.25">
      <c r="A137" s="35"/>
      <c r="B137" s="35" t="s">
        <v>8</v>
      </c>
      <c r="C137" t="s">
        <v>14</v>
      </c>
      <c r="D137" t="s">
        <v>67</v>
      </c>
      <c r="E137">
        <v>20.6</v>
      </c>
      <c r="F137" t="s">
        <v>68</v>
      </c>
      <c r="G137">
        <v>133</v>
      </c>
      <c r="H137">
        <v>7.16</v>
      </c>
    </row>
    <row r="138" spans="1:8" x14ac:dyDescent="0.25">
      <c r="B138" s="35" t="s">
        <v>7</v>
      </c>
      <c r="C138" t="s">
        <v>15</v>
      </c>
      <c r="D138" t="s">
        <v>67</v>
      </c>
      <c r="E138">
        <v>16.5</v>
      </c>
      <c r="F138" t="s">
        <v>68</v>
      </c>
      <c r="G138">
        <v>127</v>
      </c>
      <c r="H138">
        <v>8.0500000000000007</v>
      </c>
    </row>
    <row r="139" spans="1:8" x14ac:dyDescent="0.25">
      <c r="B139" s="35" t="s">
        <v>7</v>
      </c>
      <c r="C139" t="s">
        <v>16</v>
      </c>
      <c r="D139" t="s">
        <v>67</v>
      </c>
      <c r="E139">
        <v>16</v>
      </c>
      <c r="F139" t="s">
        <v>68</v>
      </c>
      <c r="G139">
        <v>99</v>
      </c>
      <c r="H139">
        <v>8.0399999999999991</v>
      </c>
    </row>
    <row r="140" spans="1:8" x14ac:dyDescent="0.25">
      <c r="A140" s="35"/>
      <c r="B140" s="35" t="s">
        <v>9</v>
      </c>
      <c r="C140" t="s">
        <v>14</v>
      </c>
      <c r="D140" t="s">
        <v>67</v>
      </c>
      <c r="E140">
        <v>17.899999999999999</v>
      </c>
      <c r="F140" t="s">
        <v>68</v>
      </c>
      <c r="G140">
        <v>145.51</v>
      </c>
      <c r="H140">
        <v>7.33</v>
      </c>
    </row>
    <row r="141" spans="1:8" x14ac:dyDescent="0.25">
      <c r="B141" s="35" t="s">
        <v>9</v>
      </c>
      <c r="C141" t="s">
        <v>15</v>
      </c>
      <c r="D141" t="s">
        <v>67</v>
      </c>
      <c r="E141">
        <v>17.5</v>
      </c>
      <c r="F141" t="s">
        <v>68</v>
      </c>
      <c r="G141">
        <v>142.72999999999999</v>
      </c>
      <c r="H141">
        <v>21.96</v>
      </c>
    </row>
    <row r="142" spans="1:8" x14ac:dyDescent="0.25">
      <c r="B142" s="35" t="s">
        <v>10</v>
      </c>
      <c r="C142" t="s">
        <v>16</v>
      </c>
      <c r="D142" t="s">
        <v>67</v>
      </c>
      <c r="E142">
        <v>18.100000000000001</v>
      </c>
      <c r="F142" t="s">
        <v>68</v>
      </c>
      <c r="G142">
        <v>155.72999999999999</v>
      </c>
      <c r="H142">
        <v>20.41</v>
      </c>
    </row>
    <row r="143" spans="1:8" x14ac:dyDescent="0.25">
      <c r="B143" s="35" t="s">
        <v>10</v>
      </c>
      <c r="C143" t="s">
        <v>14</v>
      </c>
      <c r="D143" t="s">
        <v>67</v>
      </c>
      <c r="E143">
        <v>16.8</v>
      </c>
      <c r="F143" t="s">
        <v>68</v>
      </c>
      <c r="G143">
        <v>123.05</v>
      </c>
      <c r="H143">
        <v>12.14</v>
      </c>
    </row>
    <row r="144" spans="1:8" x14ac:dyDescent="0.25">
      <c r="B144" s="35" t="s">
        <v>11</v>
      </c>
      <c r="C144" t="s">
        <v>15</v>
      </c>
      <c r="D144" t="s">
        <v>67</v>
      </c>
      <c r="E144">
        <v>17.5</v>
      </c>
      <c r="F144" t="s">
        <v>68</v>
      </c>
      <c r="G144">
        <v>148.5</v>
      </c>
      <c r="H144">
        <v>17.46</v>
      </c>
    </row>
    <row r="145" spans="1:8" x14ac:dyDescent="0.25">
      <c r="A145" s="35"/>
      <c r="B145" s="35" t="s">
        <v>11</v>
      </c>
      <c r="C145" t="s">
        <v>16</v>
      </c>
      <c r="D145" t="s">
        <v>67</v>
      </c>
      <c r="E145">
        <v>15.7</v>
      </c>
      <c r="F145" t="s">
        <v>68</v>
      </c>
      <c r="G145">
        <v>106.42</v>
      </c>
      <c r="H145">
        <v>10.93</v>
      </c>
    </row>
    <row r="146" spans="1:8" x14ac:dyDescent="0.25">
      <c r="A146" s="35"/>
      <c r="B146" s="35" t="s">
        <v>12</v>
      </c>
      <c r="C146" t="s">
        <v>14</v>
      </c>
      <c r="D146" t="s">
        <v>67</v>
      </c>
      <c r="E146">
        <v>17.8</v>
      </c>
      <c r="F146" t="s">
        <v>68</v>
      </c>
      <c r="G146">
        <v>141.91999999999999</v>
      </c>
      <c r="H146">
        <v>3.66</v>
      </c>
    </row>
    <row r="147" spans="1:8" x14ac:dyDescent="0.25">
      <c r="B147" s="35" t="s">
        <v>12</v>
      </c>
      <c r="C147" t="s">
        <v>15</v>
      </c>
      <c r="D147" t="s">
        <v>67</v>
      </c>
      <c r="E147">
        <v>20.8</v>
      </c>
      <c r="F147" t="s">
        <v>68</v>
      </c>
      <c r="G147">
        <v>223.92</v>
      </c>
      <c r="H147">
        <v>5.21</v>
      </c>
    </row>
    <row r="148" spans="1:8" x14ac:dyDescent="0.25">
      <c r="A148" s="35"/>
      <c r="B148" s="35" t="s">
        <v>13</v>
      </c>
      <c r="C148" t="s">
        <v>16</v>
      </c>
      <c r="D148" t="s">
        <v>67</v>
      </c>
      <c r="E148">
        <v>18.899999999999999</v>
      </c>
      <c r="F148" t="s">
        <v>68</v>
      </c>
      <c r="G148">
        <v>157.24</v>
      </c>
      <c r="H148">
        <v>3.25</v>
      </c>
    </row>
    <row r="149" spans="1:8" x14ac:dyDescent="0.25">
      <c r="B149" s="35" t="s">
        <v>13</v>
      </c>
      <c r="C149" t="s">
        <v>14</v>
      </c>
      <c r="D149" t="s">
        <v>67</v>
      </c>
      <c r="E149">
        <v>18</v>
      </c>
      <c r="F149" t="s">
        <v>68</v>
      </c>
      <c r="G149">
        <v>135.68</v>
      </c>
      <c r="H149">
        <v>2.44</v>
      </c>
    </row>
    <row r="150" spans="1:8" x14ac:dyDescent="0.25">
      <c r="A150" s="35"/>
      <c r="B150" s="35" t="s">
        <v>2</v>
      </c>
      <c r="C150" t="s">
        <v>15</v>
      </c>
      <c r="D150" t="s">
        <v>67</v>
      </c>
      <c r="E150">
        <v>16.7</v>
      </c>
      <c r="F150" t="s">
        <v>68</v>
      </c>
      <c r="G150">
        <v>120.02</v>
      </c>
      <c r="H150">
        <v>2.88</v>
      </c>
    </row>
    <row r="151" spans="1:8" x14ac:dyDescent="0.25">
      <c r="B151" s="35" t="s">
        <v>2</v>
      </c>
      <c r="C151" t="s">
        <v>16</v>
      </c>
      <c r="D151" t="s">
        <v>67</v>
      </c>
      <c r="E151">
        <v>16</v>
      </c>
      <c r="F151" t="s">
        <v>68</v>
      </c>
      <c r="G151">
        <v>98.96</v>
      </c>
      <c r="H151">
        <v>2.98</v>
      </c>
    </row>
    <row r="152" spans="1:8" x14ac:dyDescent="0.25">
      <c r="B152" s="35" t="s">
        <v>3</v>
      </c>
      <c r="C152" t="s">
        <v>14</v>
      </c>
      <c r="D152" t="s">
        <v>67</v>
      </c>
      <c r="E152">
        <v>22.2</v>
      </c>
      <c r="F152" t="s">
        <v>68</v>
      </c>
      <c r="G152">
        <v>279</v>
      </c>
      <c r="H152">
        <v>13.81</v>
      </c>
    </row>
    <row r="153" spans="1:8" x14ac:dyDescent="0.25">
      <c r="A153" s="35"/>
      <c r="B153" s="35" t="s">
        <v>3</v>
      </c>
      <c r="C153" t="s">
        <v>15</v>
      </c>
      <c r="D153" t="s">
        <v>67</v>
      </c>
      <c r="E153">
        <v>18.3</v>
      </c>
      <c r="F153" t="s">
        <v>68</v>
      </c>
      <c r="G153">
        <v>164</v>
      </c>
      <c r="H153">
        <v>6.45</v>
      </c>
    </row>
    <row r="154" spans="1:8" x14ac:dyDescent="0.25">
      <c r="B154" s="35" t="s">
        <v>4</v>
      </c>
      <c r="C154" t="s">
        <v>16</v>
      </c>
      <c r="D154" t="s">
        <v>67</v>
      </c>
      <c r="E154">
        <v>16.5</v>
      </c>
      <c r="F154" t="s">
        <v>68</v>
      </c>
      <c r="G154">
        <v>131</v>
      </c>
      <c r="H154">
        <v>5.55</v>
      </c>
    </row>
    <row r="155" spans="1:8" x14ac:dyDescent="0.25">
      <c r="B155" s="35" t="s">
        <v>4</v>
      </c>
      <c r="C155" t="s">
        <v>14</v>
      </c>
      <c r="D155" t="s">
        <v>67</v>
      </c>
      <c r="E155">
        <v>14.2</v>
      </c>
      <c r="F155" t="s">
        <v>68</v>
      </c>
      <c r="G155">
        <v>77</v>
      </c>
      <c r="H155">
        <v>2.02</v>
      </c>
    </row>
    <row r="156" spans="1:8" x14ac:dyDescent="0.25">
      <c r="A156" s="35"/>
      <c r="B156" s="35" t="s">
        <v>5</v>
      </c>
      <c r="C156" t="s">
        <v>15</v>
      </c>
      <c r="D156" t="s">
        <v>67</v>
      </c>
      <c r="E156">
        <v>18.100000000000001</v>
      </c>
      <c r="F156" t="s">
        <v>68</v>
      </c>
      <c r="G156">
        <v>111</v>
      </c>
      <c r="H156">
        <v>3.39</v>
      </c>
    </row>
    <row r="157" spans="1:8" x14ac:dyDescent="0.25">
      <c r="A157" s="35"/>
      <c r="B157" s="35" t="s">
        <v>5</v>
      </c>
      <c r="C157" t="s">
        <v>16</v>
      </c>
      <c r="D157" t="s">
        <v>67</v>
      </c>
      <c r="E157">
        <v>15</v>
      </c>
      <c r="F157" t="s">
        <v>68</v>
      </c>
      <c r="G157">
        <v>90</v>
      </c>
      <c r="H157">
        <v>2.11</v>
      </c>
    </row>
    <row r="158" spans="1:8" x14ac:dyDescent="0.25">
      <c r="B158" s="35" t="s">
        <v>6</v>
      </c>
      <c r="C158" t="s">
        <v>14</v>
      </c>
      <c r="D158" t="s">
        <v>67</v>
      </c>
      <c r="E158">
        <v>15.4</v>
      </c>
      <c r="F158" t="s">
        <v>68</v>
      </c>
      <c r="G158">
        <v>88</v>
      </c>
      <c r="H158">
        <v>2.4500000000000002</v>
      </c>
    </row>
    <row r="159" spans="1:8" x14ac:dyDescent="0.25">
      <c r="A159" s="35"/>
      <c r="B159" s="35" t="s">
        <v>6</v>
      </c>
      <c r="C159" t="s">
        <v>15</v>
      </c>
      <c r="D159" t="s">
        <v>67</v>
      </c>
      <c r="E159">
        <v>14</v>
      </c>
      <c r="F159" t="s">
        <v>68</v>
      </c>
      <c r="G159">
        <v>67</v>
      </c>
      <c r="H159">
        <v>0.5</v>
      </c>
    </row>
    <row r="160" spans="1:8" x14ac:dyDescent="0.25">
      <c r="B160" s="35" t="s">
        <v>8</v>
      </c>
      <c r="C160" t="s">
        <v>16</v>
      </c>
      <c r="D160" t="s">
        <v>67</v>
      </c>
      <c r="E160">
        <v>17</v>
      </c>
      <c r="F160" t="s">
        <v>68</v>
      </c>
      <c r="G160">
        <v>111</v>
      </c>
      <c r="H160">
        <v>6.03</v>
      </c>
    </row>
    <row r="161" spans="1:8" x14ac:dyDescent="0.25">
      <c r="B161" s="35" t="s">
        <v>8</v>
      </c>
      <c r="C161" t="s">
        <v>14</v>
      </c>
      <c r="D161" t="s">
        <v>67</v>
      </c>
      <c r="E161">
        <v>14.8</v>
      </c>
      <c r="F161" t="s">
        <v>68</v>
      </c>
      <c r="G161">
        <v>85</v>
      </c>
      <c r="H161">
        <v>3.83</v>
      </c>
    </row>
    <row r="162" spans="1:8" x14ac:dyDescent="0.25">
      <c r="B162" s="35" t="s">
        <v>7</v>
      </c>
      <c r="C162" t="s">
        <v>15</v>
      </c>
      <c r="D162" t="s">
        <v>67</v>
      </c>
      <c r="E162">
        <v>14</v>
      </c>
      <c r="F162" t="s">
        <v>68</v>
      </c>
      <c r="G162">
        <v>70</v>
      </c>
      <c r="H162">
        <v>0.26</v>
      </c>
    </row>
    <row r="163" spans="1:8" x14ac:dyDescent="0.25">
      <c r="A163" s="35"/>
      <c r="B163" s="35" t="s">
        <v>7</v>
      </c>
      <c r="C163" t="s">
        <v>16</v>
      </c>
      <c r="D163" t="s">
        <v>67</v>
      </c>
      <c r="E163">
        <v>15.8</v>
      </c>
      <c r="F163" t="s">
        <v>68</v>
      </c>
      <c r="G163">
        <v>97</v>
      </c>
      <c r="H163">
        <v>2.4300000000000002</v>
      </c>
    </row>
    <row r="164" spans="1:8" x14ac:dyDescent="0.25">
      <c r="B164" s="35" t="s">
        <v>9</v>
      </c>
      <c r="C164" t="s">
        <v>14</v>
      </c>
      <c r="D164" t="s">
        <v>67</v>
      </c>
      <c r="E164">
        <v>16.100000000000001</v>
      </c>
      <c r="F164" t="s">
        <v>68</v>
      </c>
      <c r="G164">
        <v>128</v>
      </c>
      <c r="H164">
        <v>3.58</v>
      </c>
    </row>
    <row r="165" spans="1:8" x14ac:dyDescent="0.25">
      <c r="B165" s="35" t="s">
        <v>9</v>
      </c>
      <c r="C165" t="s">
        <v>15</v>
      </c>
      <c r="D165" t="s">
        <v>67</v>
      </c>
      <c r="E165">
        <v>16.7</v>
      </c>
      <c r="F165" t="s">
        <v>68</v>
      </c>
      <c r="G165">
        <v>111</v>
      </c>
      <c r="H165">
        <v>1.76</v>
      </c>
    </row>
    <row r="166" spans="1:8" x14ac:dyDescent="0.25">
      <c r="A166" s="35"/>
      <c r="B166" s="35" t="s">
        <v>10</v>
      </c>
      <c r="C166" t="s">
        <v>16</v>
      </c>
      <c r="D166" t="s">
        <v>67</v>
      </c>
      <c r="E166">
        <v>15.7</v>
      </c>
      <c r="F166" t="s">
        <v>68</v>
      </c>
      <c r="G166">
        <v>91</v>
      </c>
      <c r="H166">
        <v>0.5</v>
      </c>
    </row>
    <row r="167" spans="1:8" x14ac:dyDescent="0.25">
      <c r="B167" s="35" t="s">
        <v>10</v>
      </c>
      <c r="C167" t="s">
        <v>14</v>
      </c>
      <c r="D167" t="s">
        <v>67</v>
      </c>
      <c r="E167">
        <v>14.7</v>
      </c>
      <c r="F167" t="s">
        <v>68</v>
      </c>
      <c r="G167">
        <v>79</v>
      </c>
      <c r="H167">
        <v>0.8</v>
      </c>
    </row>
    <row r="168" spans="1:8" x14ac:dyDescent="0.25">
      <c r="B168" s="35" t="s">
        <v>11</v>
      </c>
      <c r="C168" t="s">
        <v>15</v>
      </c>
      <c r="D168" t="s">
        <v>67</v>
      </c>
      <c r="E168">
        <v>19.5</v>
      </c>
      <c r="F168" t="s">
        <v>68</v>
      </c>
      <c r="G168">
        <v>176</v>
      </c>
      <c r="H168">
        <v>2.79</v>
      </c>
    </row>
    <row r="169" spans="1:8" x14ac:dyDescent="0.25">
      <c r="B169" s="35" t="s">
        <v>11</v>
      </c>
      <c r="C169" t="s">
        <v>16</v>
      </c>
      <c r="D169" t="s">
        <v>67</v>
      </c>
      <c r="E169">
        <v>16.399999999999999</v>
      </c>
      <c r="F169" t="s">
        <v>68</v>
      </c>
      <c r="G169">
        <v>107</v>
      </c>
      <c r="H169">
        <v>1.49</v>
      </c>
    </row>
    <row r="170" spans="1:8" x14ac:dyDescent="0.25">
      <c r="B170" s="35" t="s">
        <v>12</v>
      </c>
      <c r="C170" t="s">
        <v>14</v>
      </c>
      <c r="D170" t="s">
        <v>67</v>
      </c>
      <c r="E170">
        <v>15</v>
      </c>
      <c r="F170" t="s">
        <v>68</v>
      </c>
      <c r="G170">
        <v>70</v>
      </c>
      <c r="H170">
        <v>0.23</v>
      </c>
    </row>
    <row r="171" spans="1:8" x14ac:dyDescent="0.25">
      <c r="B171" s="35" t="s">
        <v>12</v>
      </c>
      <c r="C171" t="s">
        <v>15</v>
      </c>
      <c r="D171" t="s">
        <v>67</v>
      </c>
      <c r="E171">
        <v>15.1</v>
      </c>
      <c r="F171" t="s">
        <v>68</v>
      </c>
      <c r="G171">
        <v>84</v>
      </c>
      <c r="H171">
        <v>0.44</v>
      </c>
    </row>
    <row r="172" spans="1:8" x14ac:dyDescent="0.25">
      <c r="B172" s="35" t="s">
        <v>13</v>
      </c>
      <c r="C172" t="s">
        <v>16</v>
      </c>
      <c r="D172" t="s">
        <v>67</v>
      </c>
      <c r="E172">
        <v>15.4</v>
      </c>
      <c r="F172" t="s">
        <v>68</v>
      </c>
      <c r="G172">
        <v>86</v>
      </c>
      <c r="H172">
        <v>7.1</v>
      </c>
    </row>
    <row r="173" spans="1:8" x14ac:dyDescent="0.25">
      <c r="B173" s="35" t="s">
        <v>13</v>
      </c>
      <c r="C173" t="s">
        <v>14</v>
      </c>
      <c r="D173" t="s">
        <v>67</v>
      </c>
      <c r="E173">
        <v>16.8</v>
      </c>
      <c r="F173" t="s">
        <v>68</v>
      </c>
      <c r="G173">
        <v>111.8</v>
      </c>
      <c r="H173">
        <v>2.88</v>
      </c>
    </row>
    <row r="174" spans="1:8" x14ac:dyDescent="0.25">
      <c r="A174" s="35"/>
      <c r="B174" s="35" t="s">
        <v>2</v>
      </c>
      <c r="C174" t="s">
        <v>15</v>
      </c>
      <c r="D174" t="s">
        <v>67</v>
      </c>
      <c r="E174">
        <v>17.3</v>
      </c>
      <c r="F174" t="s">
        <v>68</v>
      </c>
      <c r="G174">
        <v>137.69999999999999</v>
      </c>
      <c r="H174">
        <v>8.77</v>
      </c>
    </row>
    <row r="175" spans="1:8" x14ac:dyDescent="0.25">
      <c r="B175" s="35" t="s">
        <v>2</v>
      </c>
      <c r="C175" t="s">
        <v>16</v>
      </c>
      <c r="D175" t="s">
        <v>67</v>
      </c>
      <c r="E175">
        <v>16.5</v>
      </c>
      <c r="F175" t="s">
        <v>68</v>
      </c>
      <c r="G175">
        <v>106.1</v>
      </c>
      <c r="H175">
        <v>0.84</v>
      </c>
    </row>
    <row r="176" spans="1:8" x14ac:dyDescent="0.25">
      <c r="B176" s="35" t="s">
        <v>3</v>
      </c>
      <c r="C176" t="s">
        <v>14</v>
      </c>
      <c r="D176" t="s">
        <v>67</v>
      </c>
      <c r="E176">
        <v>15.3</v>
      </c>
      <c r="F176" t="s">
        <v>68</v>
      </c>
      <c r="G176">
        <v>90.8</v>
      </c>
      <c r="H176">
        <v>0.33</v>
      </c>
    </row>
    <row r="177" spans="1:8" x14ac:dyDescent="0.25">
      <c r="B177" s="35" t="s">
        <v>3</v>
      </c>
      <c r="C177" t="s">
        <v>15</v>
      </c>
      <c r="D177" t="s">
        <v>67</v>
      </c>
      <c r="E177">
        <v>13.3</v>
      </c>
      <c r="F177" t="s">
        <v>68</v>
      </c>
      <c r="G177">
        <v>59.2</v>
      </c>
      <c r="H177">
        <v>0.3</v>
      </c>
    </row>
    <row r="178" spans="1:8" x14ac:dyDescent="0.25">
      <c r="A178" s="35"/>
      <c r="B178" s="35" t="s">
        <v>4</v>
      </c>
      <c r="C178" t="s">
        <v>16</v>
      </c>
      <c r="D178" t="s">
        <v>67</v>
      </c>
      <c r="E178">
        <v>18.399999999999999</v>
      </c>
      <c r="F178" t="s">
        <v>68</v>
      </c>
      <c r="G178">
        <v>161.30000000000001</v>
      </c>
      <c r="H178">
        <v>1.36</v>
      </c>
    </row>
    <row r="179" spans="1:8" x14ac:dyDescent="0.25">
      <c r="A179" s="35"/>
      <c r="B179" s="35" t="s">
        <v>4</v>
      </c>
      <c r="C179" t="s">
        <v>14</v>
      </c>
      <c r="D179" t="s">
        <v>67</v>
      </c>
      <c r="E179">
        <v>16.8</v>
      </c>
      <c r="F179" t="s">
        <v>68</v>
      </c>
      <c r="G179">
        <v>135.9</v>
      </c>
      <c r="H179">
        <v>4.09</v>
      </c>
    </row>
    <row r="180" spans="1:8" x14ac:dyDescent="0.25">
      <c r="A180" s="35"/>
      <c r="B180" s="35" t="s">
        <v>5</v>
      </c>
      <c r="C180" t="s">
        <v>15</v>
      </c>
      <c r="D180" t="s">
        <v>67</v>
      </c>
      <c r="E180">
        <v>16</v>
      </c>
      <c r="F180" t="s">
        <v>68</v>
      </c>
      <c r="G180">
        <v>114.5</v>
      </c>
      <c r="H180">
        <v>1.25</v>
      </c>
    </row>
    <row r="181" spans="1:8" x14ac:dyDescent="0.25">
      <c r="B181" s="35" t="s">
        <v>5</v>
      </c>
      <c r="C181" t="s">
        <v>16</v>
      </c>
      <c r="D181" t="s">
        <v>67</v>
      </c>
      <c r="E181">
        <v>14.7</v>
      </c>
      <c r="F181" t="s">
        <v>68</v>
      </c>
      <c r="G181">
        <v>92.7</v>
      </c>
      <c r="H181">
        <v>3.93</v>
      </c>
    </row>
    <row r="182" spans="1:8" x14ac:dyDescent="0.25">
      <c r="B182" s="35" t="s">
        <v>6</v>
      </c>
      <c r="C182" t="s">
        <v>14</v>
      </c>
      <c r="D182" t="s">
        <v>67</v>
      </c>
      <c r="E182">
        <v>13.8</v>
      </c>
      <c r="F182" t="s">
        <v>68</v>
      </c>
      <c r="G182">
        <v>69.5</v>
      </c>
      <c r="H182">
        <v>0.45</v>
      </c>
    </row>
    <row r="183" spans="1:8" x14ac:dyDescent="0.25">
      <c r="B183" s="35" t="s">
        <v>6</v>
      </c>
      <c r="C183" t="s">
        <v>15</v>
      </c>
      <c r="D183" t="s">
        <v>67</v>
      </c>
      <c r="E183">
        <v>15.7</v>
      </c>
      <c r="F183" t="s">
        <v>68</v>
      </c>
      <c r="G183">
        <v>99</v>
      </c>
      <c r="H183">
        <v>2.4900000000000002</v>
      </c>
    </row>
    <row r="184" spans="1:8" x14ac:dyDescent="0.25">
      <c r="B184" s="35" t="s">
        <v>8</v>
      </c>
      <c r="C184" t="s">
        <v>16</v>
      </c>
      <c r="D184" t="s">
        <v>67</v>
      </c>
      <c r="E184">
        <v>15.9</v>
      </c>
      <c r="F184" t="s">
        <v>68</v>
      </c>
      <c r="G184">
        <v>93.5</v>
      </c>
      <c r="H184">
        <v>1.42</v>
      </c>
    </row>
    <row r="185" spans="1:8" x14ac:dyDescent="0.25">
      <c r="A185" s="35"/>
      <c r="B185" s="35" t="s">
        <v>8</v>
      </c>
      <c r="C185" t="s">
        <v>14</v>
      </c>
      <c r="D185" t="s">
        <v>67</v>
      </c>
      <c r="E185">
        <v>18.8</v>
      </c>
      <c r="F185" t="s">
        <v>68</v>
      </c>
      <c r="G185">
        <v>184.4</v>
      </c>
      <c r="H185">
        <v>10.4</v>
      </c>
    </row>
    <row r="186" spans="1:8" x14ac:dyDescent="0.25">
      <c r="B186" s="35" t="s">
        <v>7</v>
      </c>
      <c r="C186" t="s">
        <v>15</v>
      </c>
      <c r="D186" t="s">
        <v>67</v>
      </c>
      <c r="E186">
        <v>15.9</v>
      </c>
      <c r="F186" t="s">
        <v>68</v>
      </c>
      <c r="G186">
        <v>97.3</v>
      </c>
      <c r="H186">
        <v>2.88</v>
      </c>
    </row>
    <row r="187" spans="1:8" x14ac:dyDescent="0.25">
      <c r="B187" s="35" t="s">
        <v>7</v>
      </c>
      <c r="C187" t="s">
        <v>16</v>
      </c>
      <c r="D187" t="s">
        <v>67</v>
      </c>
      <c r="E187">
        <v>18.600000000000001</v>
      </c>
      <c r="F187" t="s">
        <v>68</v>
      </c>
      <c r="G187">
        <v>164.6</v>
      </c>
      <c r="H187">
        <v>11.59</v>
      </c>
    </row>
    <row r="188" spans="1:8" x14ac:dyDescent="0.25">
      <c r="B188" s="35" t="s">
        <v>9</v>
      </c>
      <c r="C188" t="s">
        <v>14</v>
      </c>
      <c r="D188" t="s">
        <v>67</v>
      </c>
      <c r="E188">
        <v>12.7</v>
      </c>
      <c r="F188" t="s">
        <v>68</v>
      </c>
      <c r="G188">
        <v>52</v>
      </c>
      <c r="H188">
        <v>0.4</v>
      </c>
    </row>
    <row r="189" spans="1:8" x14ac:dyDescent="0.25">
      <c r="B189" s="35" t="s">
        <v>9</v>
      </c>
      <c r="C189" t="s">
        <v>15</v>
      </c>
      <c r="D189" t="s">
        <v>67</v>
      </c>
      <c r="E189">
        <v>15.7</v>
      </c>
      <c r="F189" t="s">
        <v>68</v>
      </c>
      <c r="G189">
        <v>86</v>
      </c>
      <c r="H189">
        <v>1.04</v>
      </c>
    </row>
    <row r="190" spans="1:8" x14ac:dyDescent="0.25">
      <c r="B190" s="35" t="s">
        <v>10</v>
      </c>
      <c r="C190" t="s">
        <v>16</v>
      </c>
      <c r="D190" t="s">
        <v>67</v>
      </c>
      <c r="E190">
        <v>17.8</v>
      </c>
      <c r="F190" t="s">
        <v>68</v>
      </c>
      <c r="G190">
        <v>157.1</v>
      </c>
      <c r="H190">
        <v>3</v>
      </c>
    </row>
    <row r="191" spans="1:8" x14ac:dyDescent="0.25">
      <c r="B191" s="35" t="s">
        <v>10</v>
      </c>
      <c r="C191" t="s">
        <v>14</v>
      </c>
      <c r="D191" t="s">
        <v>67</v>
      </c>
      <c r="E191">
        <v>20.3</v>
      </c>
      <c r="F191" t="s">
        <v>68</v>
      </c>
      <c r="G191">
        <v>242.8</v>
      </c>
      <c r="H191">
        <v>29.43</v>
      </c>
    </row>
    <row r="192" spans="1:8" x14ac:dyDescent="0.25">
      <c r="B192" s="35" t="s">
        <v>11</v>
      </c>
      <c r="C192" t="s">
        <v>15</v>
      </c>
      <c r="D192" t="s">
        <v>67</v>
      </c>
      <c r="E192">
        <v>16.899999999999999</v>
      </c>
      <c r="F192" t="s">
        <v>68</v>
      </c>
      <c r="G192">
        <v>139.5</v>
      </c>
      <c r="H192">
        <v>19.579999999999998</v>
      </c>
    </row>
    <row r="193" spans="2:8" x14ac:dyDescent="0.25">
      <c r="B193" s="35" t="s">
        <v>11</v>
      </c>
      <c r="C193" t="s">
        <v>16</v>
      </c>
      <c r="D193" t="s">
        <v>67</v>
      </c>
      <c r="E193">
        <v>15.7</v>
      </c>
      <c r="F193" t="s">
        <v>68</v>
      </c>
      <c r="G193">
        <v>110.2</v>
      </c>
      <c r="H193">
        <v>19.329999999999998</v>
      </c>
    </row>
    <row r="194" spans="2:8" x14ac:dyDescent="0.25">
      <c r="B194" s="35" t="s">
        <v>12</v>
      </c>
      <c r="C194" t="s">
        <v>14</v>
      </c>
      <c r="D194" t="s">
        <v>67</v>
      </c>
      <c r="E194">
        <v>17.5</v>
      </c>
      <c r="F194" t="s">
        <v>68</v>
      </c>
      <c r="G194">
        <v>148.80000000000001</v>
      </c>
      <c r="H194">
        <v>12.08</v>
      </c>
    </row>
    <row r="195" spans="2:8" x14ac:dyDescent="0.25">
      <c r="B195" s="35" t="s">
        <v>12</v>
      </c>
      <c r="C195" t="s">
        <v>15</v>
      </c>
      <c r="D195" t="s">
        <v>67</v>
      </c>
      <c r="E195">
        <v>15</v>
      </c>
      <c r="F195" t="s">
        <v>68</v>
      </c>
      <c r="G195">
        <v>84.61</v>
      </c>
      <c r="H195">
        <v>0.78</v>
      </c>
    </row>
    <row r="196" spans="2:8" x14ac:dyDescent="0.25">
      <c r="B196" s="35" t="s">
        <v>13</v>
      </c>
      <c r="C196" t="s">
        <v>16</v>
      </c>
      <c r="D196" t="s">
        <v>67</v>
      </c>
      <c r="E196">
        <v>16.7</v>
      </c>
      <c r="F196" t="s">
        <v>68</v>
      </c>
      <c r="G196">
        <v>122.8</v>
      </c>
      <c r="H196">
        <v>0.89</v>
      </c>
    </row>
    <row r="197" spans="2:8" x14ac:dyDescent="0.25">
      <c r="B197" s="35" t="s">
        <v>13</v>
      </c>
      <c r="C197" t="s">
        <v>14</v>
      </c>
      <c r="D197" t="s">
        <v>67</v>
      </c>
      <c r="E197">
        <v>17.5</v>
      </c>
      <c r="F197" t="s">
        <v>68</v>
      </c>
      <c r="G197">
        <v>137.9</v>
      </c>
      <c r="H197">
        <v>2.16</v>
      </c>
    </row>
    <row r="198" spans="2:8" x14ac:dyDescent="0.25">
      <c r="B198" s="35" t="s">
        <v>2</v>
      </c>
      <c r="C198" t="s">
        <v>15</v>
      </c>
      <c r="D198" t="s">
        <v>67</v>
      </c>
      <c r="E198">
        <v>15.7</v>
      </c>
      <c r="F198" t="s">
        <v>68</v>
      </c>
      <c r="G198">
        <v>107.7</v>
      </c>
      <c r="H198">
        <v>1.0900000000000001</v>
      </c>
    </row>
    <row r="199" spans="2:8" x14ac:dyDescent="0.25">
      <c r="B199" s="35" t="s">
        <v>2</v>
      </c>
      <c r="C199" t="s">
        <v>16</v>
      </c>
      <c r="D199" t="s">
        <v>67</v>
      </c>
      <c r="E199">
        <v>15</v>
      </c>
      <c r="F199" t="s">
        <v>68</v>
      </c>
      <c r="G199">
        <v>89.8</v>
      </c>
      <c r="H199">
        <v>0.26</v>
      </c>
    </row>
    <row r="200" spans="2:8" x14ac:dyDescent="0.25">
      <c r="B200" s="35" t="s">
        <v>3</v>
      </c>
      <c r="C200" t="s">
        <v>14</v>
      </c>
      <c r="D200" t="s">
        <v>67</v>
      </c>
      <c r="E200">
        <v>13.3</v>
      </c>
      <c r="F200" t="s">
        <v>68</v>
      </c>
      <c r="G200">
        <v>65.3</v>
      </c>
      <c r="H200">
        <v>0.19</v>
      </c>
    </row>
  </sheetData>
  <autoFilter ref="A5:I185">
    <sortState ref="A6:H185">
      <sortCondition ref="E5:E185"/>
    </sortState>
  </autoFilter>
  <mergeCells count="2">
    <mergeCell ref="A2:I3"/>
    <mergeCell ref="A1:I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12"/>
  <sheetViews>
    <sheetView workbookViewId="0">
      <selection activeCell="H50" sqref="H50"/>
    </sheetView>
  </sheetViews>
  <sheetFormatPr defaultRowHeight="15" x14ac:dyDescent="0.25"/>
  <cols>
    <col min="5" max="5" width="15.7109375" customWidth="1"/>
    <col min="6" max="6" width="17.28515625" customWidth="1"/>
    <col min="7" max="7" width="34" customWidth="1"/>
    <col min="8" max="8" width="14.7109375" customWidth="1"/>
    <col min="9" max="10" width="13.140625" customWidth="1"/>
    <col min="11" max="11" width="52" customWidth="1"/>
    <col min="12" max="12" width="12.5703125" customWidth="1"/>
    <col min="13" max="13" width="43.85546875" customWidth="1"/>
    <col min="14" max="14" width="21.140625" customWidth="1"/>
    <col min="15" max="15" width="25.5703125" customWidth="1"/>
    <col min="16" max="16" width="14.85546875" bestFit="1" customWidth="1"/>
    <col min="17" max="19" width="12" bestFit="1" customWidth="1"/>
    <col min="20" max="20" width="13.140625" customWidth="1"/>
    <col min="21" max="21" width="45" customWidth="1"/>
    <col min="22" max="33" width="12" bestFit="1" customWidth="1"/>
    <col min="34" max="34" width="11" bestFit="1" customWidth="1"/>
    <col min="35" max="36" width="12" bestFit="1" customWidth="1"/>
    <col min="37" max="37" width="11" bestFit="1" customWidth="1"/>
    <col min="38" max="49" width="12" bestFit="1" customWidth="1"/>
    <col min="50" max="50" width="10" bestFit="1" customWidth="1"/>
    <col min="51" max="59" width="12" bestFit="1" customWidth="1"/>
    <col min="60" max="61" width="11" bestFit="1" customWidth="1"/>
    <col min="62" max="73" width="12" bestFit="1" customWidth="1"/>
    <col min="74" max="74" width="11" bestFit="1" customWidth="1"/>
    <col min="75" max="87" width="12" bestFit="1" customWidth="1"/>
    <col min="88" max="88" width="11" bestFit="1" customWidth="1"/>
    <col min="89" max="98" width="12" bestFit="1" customWidth="1"/>
    <col min="99" max="99" width="11" bestFit="1" customWidth="1"/>
    <col min="100" max="103" width="12" bestFit="1" customWidth="1"/>
    <col min="104" max="104" width="11.28515625" bestFit="1" customWidth="1"/>
  </cols>
  <sheetData>
    <row r="1" spans="1:15" ht="20.25" x14ac:dyDescent="0.3">
      <c r="A1" s="10" t="s">
        <v>48</v>
      </c>
      <c r="B1" s="2"/>
      <c r="C1" s="2"/>
      <c r="D1" s="2"/>
      <c r="E1" s="2"/>
      <c r="F1" s="2"/>
      <c r="G1" s="2"/>
      <c r="H1" s="2"/>
    </row>
    <row r="2" spans="1:15" x14ac:dyDescent="0.25">
      <c r="A2" s="52" t="s">
        <v>74</v>
      </c>
      <c r="B2" s="53"/>
      <c r="C2" s="53"/>
      <c r="D2" s="53"/>
      <c r="E2" s="53"/>
      <c r="F2" s="53"/>
      <c r="G2" s="53"/>
      <c r="H2" s="54"/>
    </row>
    <row r="3" spans="1:15" x14ac:dyDescent="0.25">
      <c r="A3" s="55"/>
      <c r="B3" s="56"/>
      <c r="C3" s="56"/>
      <c r="D3" s="56"/>
      <c r="E3" s="56"/>
      <c r="F3" s="56"/>
      <c r="G3" s="56"/>
      <c r="H3" s="57"/>
    </row>
    <row r="4" spans="1:15" x14ac:dyDescent="0.25">
      <c r="A4" s="55"/>
      <c r="B4" s="56"/>
      <c r="C4" s="56"/>
      <c r="D4" s="56"/>
      <c r="E4" s="56"/>
      <c r="F4" s="56"/>
      <c r="G4" s="56"/>
      <c r="H4" s="57"/>
    </row>
    <row r="5" spans="1:15" ht="15.75" x14ac:dyDescent="0.25">
      <c r="A5" s="55"/>
      <c r="B5" s="56"/>
      <c r="C5" s="56"/>
      <c r="D5" s="56"/>
      <c r="E5" s="56"/>
      <c r="F5" s="56"/>
      <c r="G5" s="56"/>
      <c r="H5" s="57"/>
      <c r="I5" s="2"/>
      <c r="J5" s="2"/>
      <c r="K5" s="2"/>
      <c r="L5" s="2"/>
    </row>
    <row r="6" spans="1:15" ht="16.5" thickBot="1" x14ac:dyDescent="0.3">
      <c r="A6" s="55"/>
      <c r="B6" s="56"/>
      <c r="C6" s="56"/>
      <c r="D6" s="56"/>
      <c r="E6" s="56"/>
      <c r="F6" s="56"/>
      <c r="G6" s="56"/>
      <c r="H6" s="57"/>
      <c r="I6" s="2"/>
      <c r="J6" s="2" t="s">
        <v>47</v>
      </c>
      <c r="K6" s="2"/>
      <c r="L6" s="2"/>
    </row>
    <row r="7" spans="1:15" ht="16.5" thickBot="1" x14ac:dyDescent="0.3">
      <c r="A7" s="55"/>
      <c r="B7" s="56"/>
      <c r="C7" s="56"/>
      <c r="D7" s="56"/>
      <c r="E7" s="56"/>
      <c r="F7" s="56"/>
      <c r="G7" s="56"/>
      <c r="H7" s="57"/>
      <c r="I7" s="2"/>
      <c r="J7" s="31">
        <v>21.272147023219983</v>
      </c>
      <c r="K7" s="2"/>
      <c r="L7" s="2"/>
    </row>
    <row r="8" spans="1:15" ht="15.75" x14ac:dyDescent="0.25">
      <c r="A8" s="55"/>
      <c r="B8" s="56"/>
      <c r="C8" s="56"/>
      <c r="D8" s="56"/>
      <c r="E8" s="56"/>
      <c r="F8" s="56"/>
      <c r="G8" s="56"/>
      <c r="H8" s="57"/>
      <c r="I8" s="2"/>
      <c r="J8" s="2"/>
      <c r="K8" s="2"/>
      <c r="L8" s="2"/>
    </row>
    <row r="9" spans="1:15" ht="42" customHeight="1" thickBot="1" x14ac:dyDescent="0.3">
      <c r="A9" s="58"/>
      <c r="B9" s="59"/>
      <c r="C9" s="59"/>
      <c r="D9" s="59"/>
      <c r="E9" s="59"/>
      <c r="F9" s="59"/>
      <c r="G9" s="59"/>
      <c r="H9" s="60"/>
      <c r="I9" s="2"/>
      <c r="J9" s="30" t="s">
        <v>46</v>
      </c>
      <c r="K9" s="2"/>
      <c r="L9" s="2"/>
    </row>
    <row r="10" spans="1:15" ht="21" thickBot="1" x14ac:dyDescent="0.35">
      <c r="A10" s="22"/>
      <c r="B10" s="22"/>
      <c r="C10" s="22"/>
      <c r="D10" s="22"/>
      <c r="E10" s="22"/>
      <c r="F10" s="22"/>
      <c r="G10" s="22"/>
      <c r="H10" s="22"/>
      <c r="I10" s="2"/>
      <c r="J10" s="29">
        <f>GETPIVOTDATA("GSI (somatic/gonad weight*100)",$J$6)*5%</f>
        <v>1.0636073511609991</v>
      </c>
      <c r="K10" s="2"/>
      <c r="L10" s="2"/>
    </row>
    <row r="11" spans="1:15" ht="20.25" x14ac:dyDescent="0.3">
      <c r="A11" s="22"/>
      <c r="B11" s="22"/>
      <c r="C11" s="22"/>
      <c r="D11" s="22"/>
      <c r="E11" s="22"/>
      <c r="F11" s="22"/>
      <c r="G11" s="22"/>
      <c r="H11" s="22"/>
      <c r="I11" s="2"/>
      <c r="J11" s="2"/>
      <c r="K11" s="2"/>
    </row>
    <row r="12" spans="1:15" ht="75.75" x14ac:dyDescent="0.25">
      <c r="A12" s="28" t="s">
        <v>18</v>
      </c>
      <c r="B12" s="27" t="s">
        <v>45</v>
      </c>
      <c r="C12" s="27" t="s">
        <v>40</v>
      </c>
      <c r="D12" s="27" t="s">
        <v>41</v>
      </c>
      <c r="E12" s="38" t="s">
        <v>17</v>
      </c>
      <c r="F12" s="38" t="s">
        <v>19</v>
      </c>
      <c r="G12" s="26" t="s">
        <v>44</v>
      </c>
      <c r="H12" s="25"/>
      <c r="J12" s="33" t="s">
        <v>21</v>
      </c>
      <c r="K12" t="s">
        <v>42</v>
      </c>
      <c r="L12" t="s">
        <v>43</v>
      </c>
      <c r="M12" s="39" t="s">
        <v>75</v>
      </c>
      <c r="N12" s="39" t="s">
        <v>76</v>
      </c>
    </row>
    <row r="13" spans="1:15" ht="15.75" x14ac:dyDescent="0.25">
      <c r="A13" s="4">
        <v>1</v>
      </c>
      <c r="B13">
        <v>13.5</v>
      </c>
      <c r="C13">
        <v>57</v>
      </c>
      <c r="D13">
        <v>0.14000000000000001</v>
      </c>
      <c r="E13" s="4">
        <f t="shared" ref="E13:E44" si="0">IFERROR(C13-D13, "")</f>
        <v>56.86</v>
      </c>
      <c r="F13" s="4">
        <f t="shared" ref="F13:F44" si="1">IFERROR(D13/E13*100, "")</f>
        <v>0.24621878297572986</v>
      </c>
      <c r="G13">
        <f t="shared" ref="G13:G44" si="2">IF(F13&lt;$J$10, 0, 1)</f>
        <v>0</v>
      </c>
      <c r="J13" s="24" t="s">
        <v>49</v>
      </c>
      <c r="K13" s="23">
        <v>0</v>
      </c>
      <c r="L13" s="23">
        <v>1</v>
      </c>
      <c r="M13" s="41">
        <f>GETPIVOTDATA("Sum of Maturity (0=immature, 1=mature)",$J$12,"Fork Length (cm)",9.5)/GETPIVOTDATA("Count of Fish",$J$12,"Fork Length (cm)",9.5)*100</f>
        <v>0</v>
      </c>
      <c r="N13" s="40" t="str">
        <f>J13</f>
        <v>9.5-10.5</v>
      </c>
      <c r="O13" s="37"/>
    </row>
    <row r="14" spans="1:15" ht="15.75" x14ac:dyDescent="0.25">
      <c r="A14" s="4">
        <v>2</v>
      </c>
      <c r="B14">
        <v>14.4</v>
      </c>
      <c r="C14">
        <v>72</v>
      </c>
      <c r="D14">
        <v>2.5999999999999999E-2</v>
      </c>
      <c r="E14" s="4">
        <f t="shared" si="0"/>
        <v>71.974000000000004</v>
      </c>
      <c r="F14" s="4">
        <f t="shared" si="1"/>
        <v>3.6124155945202428E-2</v>
      </c>
      <c r="G14">
        <f t="shared" si="2"/>
        <v>0</v>
      </c>
      <c r="J14" s="24" t="s">
        <v>50</v>
      </c>
      <c r="K14" s="23">
        <v>0</v>
      </c>
      <c r="L14" s="23">
        <v>6</v>
      </c>
      <c r="M14" s="41">
        <f>GETPIVOTDATA("Sum of Maturity (0=immature, 1=mature)",$J$12,"Fork Length (cm)",11.5)/GETPIVOTDATA("Count of Fish",$J$12,"Fork Length (cm)",11.5)*100</f>
        <v>0</v>
      </c>
      <c r="N14" s="40" t="str">
        <f t="shared" ref="N14:N24" si="3">J14</f>
        <v>11.5-12.5</v>
      </c>
      <c r="O14" s="37"/>
    </row>
    <row r="15" spans="1:15" ht="15.75" x14ac:dyDescent="0.25">
      <c r="A15" s="4">
        <v>3</v>
      </c>
      <c r="B15">
        <v>14.5</v>
      </c>
      <c r="C15">
        <v>74</v>
      </c>
      <c r="D15">
        <v>0.25</v>
      </c>
      <c r="E15" s="4">
        <f t="shared" si="0"/>
        <v>73.75</v>
      </c>
      <c r="F15" s="4">
        <f t="shared" si="1"/>
        <v>0.33898305084745761</v>
      </c>
      <c r="G15">
        <f t="shared" si="2"/>
        <v>0</v>
      </c>
      <c r="J15" s="24" t="s">
        <v>51</v>
      </c>
      <c r="K15" s="23">
        <v>0</v>
      </c>
      <c r="L15" s="23">
        <v>7</v>
      </c>
      <c r="M15" s="41">
        <f>GETPIVOTDATA("Sum of Maturity (0=immature, 1=mature)",$J$12,"Fork Length (cm)",12.5)/GETPIVOTDATA("Count of Fish",$J$12,"Fork Length (cm)",12.5)*100</f>
        <v>0</v>
      </c>
      <c r="N15" s="40" t="str">
        <f t="shared" si="3"/>
        <v>12.5-13.5</v>
      </c>
      <c r="O15" s="37"/>
    </row>
    <row r="16" spans="1:15" ht="15.75" x14ac:dyDescent="0.25">
      <c r="A16" s="4">
        <v>4</v>
      </c>
      <c r="B16">
        <v>13.3</v>
      </c>
      <c r="C16">
        <v>55</v>
      </c>
      <c r="D16">
        <v>0.25</v>
      </c>
      <c r="E16" s="4">
        <f t="shared" si="0"/>
        <v>54.75</v>
      </c>
      <c r="F16" s="4">
        <f t="shared" si="1"/>
        <v>0.45662100456621002</v>
      </c>
      <c r="G16">
        <f t="shared" si="2"/>
        <v>0</v>
      </c>
      <c r="J16" s="24" t="s">
        <v>52</v>
      </c>
      <c r="K16" s="23">
        <v>2</v>
      </c>
      <c r="L16" s="23">
        <v>8</v>
      </c>
      <c r="M16" s="41">
        <f>GETPIVOTDATA("Sum of Maturity (0=immature, 1=mature)",$J$12,"Fork Length (cm)",13.5)/GETPIVOTDATA("Count of Fish",$J$12,"Fork Length (cm)",13.5)*100</f>
        <v>25</v>
      </c>
      <c r="N16" s="40" t="str">
        <f t="shared" si="3"/>
        <v>13.5-14.5</v>
      </c>
      <c r="O16" s="37"/>
    </row>
    <row r="17" spans="1:15" ht="15.75" x14ac:dyDescent="0.25">
      <c r="A17" s="4">
        <v>5</v>
      </c>
      <c r="B17">
        <v>11.7</v>
      </c>
      <c r="C17">
        <v>39</v>
      </c>
      <c r="D17">
        <v>0.12</v>
      </c>
      <c r="E17" s="4">
        <f t="shared" si="0"/>
        <v>38.880000000000003</v>
      </c>
      <c r="F17" s="4">
        <f t="shared" si="1"/>
        <v>0.30864197530864196</v>
      </c>
      <c r="G17">
        <f t="shared" si="2"/>
        <v>0</v>
      </c>
      <c r="J17" s="24" t="s">
        <v>53</v>
      </c>
      <c r="K17" s="23">
        <v>7</v>
      </c>
      <c r="L17" s="23">
        <v>17</v>
      </c>
      <c r="M17" s="41">
        <f>GETPIVOTDATA("Sum of Maturity (0=immature, 1=mature)",$J$12,"Fork Length (cm)",14.5)/GETPIVOTDATA("Count of Fish",$J$12,"Fork Length (cm)",14.5)*100</f>
        <v>41.17647058823529</v>
      </c>
      <c r="N17" s="40" t="str">
        <f t="shared" si="3"/>
        <v>14.5-15.5</v>
      </c>
      <c r="O17" s="37"/>
    </row>
    <row r="18" spans="1:15" ht="15.75" x14ac:dyDescent="0.25">
      <c r="A18" s="4">
        <v>6</v>
      </c>
      <c r="B18">
        <v>11.6</v>
      </c>
      <c r="C18">
        <v>36.799999999999997</v>
      </c>
      <c r="D18">
        <v>0.1</v>
      </c>
      <c r="E18" s="4">
        <f t="shared" si="0"/>
        <v>36.699999999999996</v>
      </c>
      <c r="F18" s="4">
        <f t="shared" si="1"/>
        <v>0.27247956403269757</v>
      </c>
      <c r="G18">
        <f t="shared" si="2"/>
        <v>0</v>
      </c>
      <c r="J18" s="24" t="s">
        <v>54</v>
      </c>
      <c r="K18" s="23">
        <v>13</v>
      </c>
      <c r="L18" s="23">
        <v>16</v>
      </c>
      <c r="M18" s="41">
        <f>GETPIVOTDATA("Sum of Maturity (0=immature, 1=mature)",$J$12,"Fork Length (cm)",15.5)/GETPIVOTDATA("Count of Fish",$J$12,"Fork Length (cm)",15.5)*100</f>
        <v>81.25</v>
      </c>
      <c r="N18" s="40" t="str">
        <f t="shared" si="3"/>
        <v>15.5-16.5</v>
      </c>
      <c r="O18" s="37"/>
    </row>
    <row r="19" spans="1:15" ht="15.75" x14ac:dyDescent="0.25">
      <c r="A19" s="4">
        <v>7</v>
      </c>
      <c r="B19">
        <v>11.9</v>
      </c>
      <c r="C19">
        <v>41.3</v>
      </c>
      <c r="D19">
        <v>0.06</v>
      </c>
      <c r="E19" s="4">
        <f t="shared" si="0"/>
        <v>41.239999999999995</v>
      </c>
      <c r="F19" s="4">
        <f t="shared" si="1"/>
        <v>0.14548981571290009</v>
      </c>
      <c r="G19">
        <f t="shared" si="2"/>
        <v>0</v>
      </c>
      <c r="J19" s="24" t="s">
        <v>55</v>
      </c>
      <c r="K19" s="23">
        <v>15</v>
      </c>
      <c r="L19" s="23">
        <v>18</v>
      </c>
      <c r="M19" s="41">
        <f>GETPIVOTDATA("Sum of Maturity (0=immature, 1=mature)",$J$12,"Fork Length (cm)",16.5)/GETPIVOTDATA("Count of Fish",$J$12,"Fork Length (cm)",16.5)*100</f>
        <v>83.333333333333343</v>
      </c>
      <c r="N19" s="40" t="str">
        <f t="shared" si="3"/>
        <v>16.5-17.5</v>
      </c>
      <c r="O19" s="37"/>
    </row>
    <row r="20" spans="1:15" ht="15.75" x14ac:dyDescent="0.25">
      <c r="A20" s="4">
        <v>8</v>
      </c>
      <c r="B20">
        <v>14.2</v>
      </c>
      <c r="C20">
        <v>79.8</v>
      </c>
      <c r="D20">
        <v>0.13</v>
      </c>
      <c r="E20" s="4">
        <f t="shared" si="0"/>
        <v>79.67</v>
      </c>
      <c r="F20" s="4">
        <f t="shared" si="1"/>
        <v>0.1631730889920924</v>
      </c>
      <c r="G20">
        <f t="shared" si="2"/>
        <v>0</v>
      </c>
      <c r="J20" s="24" t="s">
        <v>56</v>
      </c>
      <c r="K20" s="23">
        <v>14</v>
      </c>
      <c r="L20" s="23">
        <v>15</v>
      </c>
      <c r="M20" s="41">
        <f>GETPIVOTDATA("Sum of Maturity (0=immature, 1=mature)",$J$12,"Fork Length (cm)",17.5)/GETPIVOTDATA("Count of Fish",$J$12,"Fork Length (cm)",17.5)*100</f>
        <v>93.333333333333329</v>
      </c>
      <c r="N20" s="40" t="str">
        <f t="shared" si="3"/>
        <v>17.5-18.5</v>
      </c>
      <c r="O20" s="37"/>
    </row>
    <row r="21" spans="1:15" ht="15.75" x14ac:dyDescent="0.25">
      <c r="A21" s="4">
        <v>9</v>
      </c>
      <c r="B21">
        <v>9.5</v>
      </c>
      <c r="C21">
        <v>23</v>
      </c>
      <c r="D21">
        <v>0.04</v>
      </c>
      <c r="E21" s="4">
        <f t="shared" si="0"/>
        <v>22.96</v>
      </c>
      <c r="F21" s="4">
        <f t="shared" si="1"/>
        <v>0.17421602787456447</v>
      </c>
      <c r="G21">
        <f t="shared" si="2"/>
        <v>0</v>
      </c>
      <c r="J21" s="24" t="s">
        <v>57</v>
      </c>
      <c r="K21" s="23">
        <v>5</v>
      </c>
      <c r="L21" s="23">
        <v>5</v>
      </c>
      <c r="M21" s="41">
        <f>GETPIVOTDATA("Sum of Maturity (0=immature, 1=mature)",$J$12,"Fork Length (cm)",18.5)/GETPIVOTDATA("Count of Fish",$J$12,"Fork Length (cm)",18.5)*100</f>
        <v>100</v>
      </c>
      <c r="N21" s="40" t="str">
        <f t="shared" si="3"/>
        <v>18.5-19.5</v>
      </c>
      <c r="O21" s="37"/>
    </row>
    <row r="22" spans="1:15" ht="15.75" x14ac:dyDescent="0.25">
      <c r="A22" s="4">
        <v>10</v>
      </c>
      <c r="B22">
        <v>13</v>
      </c>
      <c r="C22">
        <v>57</v>
      </c>
      <c r="D22">
        <v>0.11</v>
      </c>
      <c r="E22" s="4">
        <f t="shared" si="0"/>
        <v>56.89</v>
      </c>
      <c r="F22" s="4">
        <f t="shared" si="1"/>
        <v>0.19335559852346634</v>
      </c>
      <c r="G22">
        <f t="shared" si="2"/>
        <v>0</v>
      </c>
      <c r="J22" s="24" t="s">
        <v>58</v>
      </c>
      <c r="K22" s="23">
        <v>3</v>
      </c>
      <c r="L22" s="23">
        <v>3</v>
      </c>
      <c r="M22" s="41">
        <f>GETPIVOTDATA("Sum of Maturity (0=immature, 1=mature)",$J$12,"Fork Length (cm)",19.5)/GETPIVOTDATA("Count of Fish",$J$12,"Fork Length (cm)",19.5)*100</f>
        <v>100</v>
      </c>
      <c r="N22" s="40" t="str">
        <f t="shared" si="3"/>
        <v>19.5-20.5</v>
      </c>
      <c r="O22" s="37"/>
    </row>
    <row r="23" spans="1:15" ht="15.75" x14ac:dyDescent="0.25">
      <c r="A23" s="4">
        <v>11</v>
      </c>
      <c r="B23">
        <v>11.5</v>
      </c>
      <c r="C23">
        <v>38.049999999999997</v>
      </c>
      <c r="D23">
        <v>0.03</v>
      </c>
      <c r="E23" s="4">
        <f t="shared" si="0"/>
        <v>38.019999999999996</v>
      </c>
      <c r="F23" s="4">
        <f t="shared" si="1"/>
        <v>7.8905839032088379E-2</v>
      </c>
      <c r="G23">
        <f t="shared" si="2"/>
        <v>0</v>
      </c>
      <c r="J23" s="24" t="s">
        <v>59</v>
      </c>
      <c r="K23" s="23">
        <v>3</v>
      </c>
      <c r="L23" s="23">
        <v>3</v>
      </c>
      <c r="M23" s="41">
        <f>GETPIVOTDATA("Sum of Maturity (0=immature, 1=mature)",$J$12,"Fork Length (cm)",20.5)/GETPIVOTDATA("Count of Fish",$J$12,"Fork Length (cm)",20.5)*100</f>
        <v>100</v>
      </c>
      <c r="N23" s="40" t="str">
        <f t="shared" si="3"/>
        <v>20.5-21.5</v>
      </c>
      <c r="O23" s="37"/>
    </row>
    <row r="24" spans="1:15" ht="15.75" x14ac:dyDescent="0.25">
      <c r="A24" s="4">
        <v>12</v>
      </c>
      <c r="B24">
        <v>11.5</v>
      </c>
      <c r="C24">
        <v>41.6</v>
      </c>
      <c r="D24">
        <v>0.01</v>
      </c>
      <c r="E24" s="4">
        <f t="shared" si="0"/>
        <v>41.59</v>
      </c>
      <c r="F24" s="4">
        <f t="shared" si="1"/>
        <v>2.4044241404183698E-2</v>
      </c>
      <c r="G24">
        <f t="shared" si="2"/>
        <v>0</v>
      </c>
      <c r="J24" s="24" t="s">
        <v>60</v>
      </c>
      <c r="K24" s="23">
        <v>1</v>
      </c>
      <c r="L24" s="23">
        <v>1</v>
      </c>
      <c r="M24" s="41">
        <f>GETPIVOTDATA("Sum of Maturity (0=immature, 1=mature)",$J$12,"Fork Length (cm)",21.5)/GETPIVOTDATA("Count of Fish",$J$12,"Fork Length (cm)",21.5)*100</f>
        <v>100</v>
      </c>
      <c r="N24" s="40" t="str">
        <f t="shared" si="3"/>
        <v>21.5-22.5</v>
      </c>
      <c r="O24" s="37"/>
    </row>
    <row r="25" spans="1:15" ht="15.75" x14ac:dyDescent="0.25">
      <c r="A25" s="4">
        <v>13</v>
      </c>
      <c r="B25">
        <v>12.4</v>
      </c>
      <c r="C25">
        <v>46.57</v>
      </c>
      <c r="D25">
        <v>0.11</v>
      </c>
      <c r="E25" s="4">
        <f t="shared" si="0"/>
        <v>46.46</v>
      </c>
      <c r="F25" s="4">
        <f t="shared" si="1"/>
        <v>0.23676280671545416</v>
      </c>
      <c r="G25">
        <f t="shared" si="2"/>
        <v>0</v>
      </c>
      <c r="J25" s="24" t="s">
        <v>23</v>
      </c>
      <c r="K25" s="23">
        <v>63</v>
      </c>
      <c r="L25" s="23">
        <v>100</v>
      </c>
      <c r="M25" s="39"/>
      <c r="N25" s="40"/>
      <c r="O25" s="37"/>
    </row>
    <row r="26" spans="1:15" ht="15.75" x14ac:dyDescent="0.25">
      <c r="A26" s="4">
        <v>14</v>
      </c>
      <c r="B26">
        <v>16.5</v>
      </c>
      <c r="C26">
        <v>91.65</v>
      </c>
      <c r="D26">
        <v>0.16</v>
      </c>
      <c r="E26" s="4">
        <f t="shared" si="0"/>
        <v>91.490000000000009</v>
      </c>
      <c r="F26" s="4">
        <f t="shared" si="1"/>
        <v>0.17488250081976173</v>
      </c>
      <c r="G26">
        <f t="shared" si="2"/>
        <v>0</v>
      </c>
      <c r="N26" s="24"/>
      <c r="O26" s="37"/>
    </row>
    <row r="27" spans="1:15" ht="15.75" x14ac:dyDescent="0.25">
      <c r="A27" s="4">
        <v>15</v>
      </c>
      <c r="B27">
        <v>15</v>
      </c>
      <c r="C27">
        <v>81.8</v>
      </c>
      <c r="D27">
        <v>0.18</v>
      </c>
      <c r="E27" s="4">
        <f t="shared" si="0"/>
        <v>81.61999999999999</v>
      </c>
      <c r="F27" s="4">
        <f t="shared" si="1"/>
        <v>0.22053418279833376</v>
      </c>
      <c r="G27">
        <f t="shared" si="2"/>
        <v>0</v>
      </c>
    </row>
    <row r="28" spans="1:15" ht="15.75" x14ac:dyDescent="0.25">
      <c r="A28" s="4">
        <v>16</v>
      </c>
      <c r="B28">
        <v>14.1</v>
      </c>
      <c r="C28">
        <v>77.569999999999993</v>
      </c>
      <c r="D28">
        <v>0.97</v>
      </c>
      <c r="E28" s="4">
        <f t="shared" si="0"/>
        <v>76.599999999999994</v>
      </c>
      <c r="F28" s="4">
        <f t="shared" si="1"/>
        <v>1.2663185378590078</v>
      </c>
      <c r="G28">
        <f t="shared" si="2"/>
        <v>1</v>
      </c>
    </row>
    <row r="29" spans="1:15" ht="15.75" x14ac:dyDescent="0.25">
      <c r="A29" s="4">
        <v>17</v>
      </c>
      <c r="B29">
        <v>13</v>
      </c>
      <c r="C29">
        <v>58.72</v>
      </c>
      <c r="D29">
        <v>0.16</v>
      </c>
      <c r="E29" s="4">
        <f t="shared" si="0"/>
        <v>58.56</v>
      </c>
      <c r="F29" s="4">
        <f t="shared" si="1"/>
        <v>0.27322404371584702</v>
      </c>
      <c r="G29">
        <f t="shared" si="2"/>
        <v>0</v>
      </c>
    </row>
    <row r="30" spans="1:15" ht="15.75" x14ac:dyDescent="0.25">
      <c r="A30" s="4">
        <v>18</v>
      </c>
      <c r="B30">
        <v>15.5</v>
      </c>
      <c r="C30">
        <v>106.3</v>
      </c>
      <c r="D30">
        <v>3.93</v>
      </c>
      <c r="E30" s="4">
        <f t="shared" si="0"/>
        <v>102.36999999999999</v>
      </c>
      <c r="F30" s="4">
        <f t="shared" si="1"/>
        <v>3.8390153365243727</v>
      </c>
      <c r="G30">
        <f t="shared" si="2"/>
        <v>1</v>
      </c>
    </row>
    <row r="31" spans="1:15" ht="15.75" x14ac:dyDescent="0.25">
      <c r="A31" s="4">
        <v>19</v>
      </c>
      <c r="B31">
        <v>16.5</v>
      </c>
      <c r="C31">
        <v>131.59</v>
      </c>
      <c r="D31">
        <v>5.15</v>
      </c>
      <c r="E31" s="4">
        <f t="shared" si="0"/>
        <v>126.44</v>
      </c>
      <c r="F31" s="4">
        <f t="shared" si="1"/>
        <v>4.0730781398291684</v>
      </c>
      <c r="G31">
        <f t="shared" si="2"/>
        <v>1</v>
      </c>
    </row>
    <row r="32" spans="1:15" ht="15.75" x14ac:dyDescent="0.25">
      <c r="A32" s="4">
        <v>20</v>
      </c>
      <c r="B32">
        <v>17.399999999999999</v>
      </c>
      <c r="C32">
        <v>145</v>
      </c>
      <c r="D32">
        <v>4.5599999999999996</v>
      </c>
      <c r="E32" s="4">
        <f t="shared" si="0"/>
        <v>140.44</v>
      </c>
      <c r="F32" s="4">
        <f t="shared" si="1"/>
        <v>3.2469381942466535</v>
      </c>
      <c r="G32">
        <f t="shared" si="2"/>
        <v>1</v>
      </c>
    </row>
    <row r="33" spans="1:7" ht="15.75" x14ac:dyDescent="0.25">
      <c r="A33" s="4">
        <v>21</v>
      </c>
      <c r="B33">
        <v>19.2</v>
      </c>
      <c r="C33">
        <v>181</v>
      </c>
      <c r="D33">
        <v>7.6</v>
      </c>
      <c r="E33" s="4">
        <f t="shared" si="0"/>
        <v>173.4</v>
      </c>
      <c r="F33" s="4">
        <f t="shared" si="1"/>
        <v>4.3829296424452133</v>
      </c>
      <c r="G33">
        <f t="shared" si="2"/>
        <v>1</v>
      </c>
    </row>
    <row r="34" spans="1:7" ht="15.75" x14ac:dyDescent="0.25">
      <c r="A34" s="4">
        <v>22</v>
      </c>
      <c r="B34">
        <v>13</v>
      </c>
      <c r="C34">
        <v>57</v>
      </c>
      <c r="D34">
        <v>0.5</v>
      </c>
      <c r="E34" s="4">
        <f t="shared" si="0"/>
        <v>56.5</v>
      </c>
      <c r="F34" s="4">
        <f t="shared" si="1"/>
        <v>0.88495575221238942</v>
      </c>
      <c r="G34">
        <f>IF(F34&lt;$J$10, 0, 1)</f>
        <v>0</v>
      </c>
    </row>
    <row r="35" spans="1:7" ht="15.75" x14ac:dyDescent="0.25">
      <c r="A35" s="4">
        <v>23</v>
      </c>
      <c r="B35">
        <v>17.5</v>
      </c>
      <c r="C35">
        <v>139</v>
      </c>
      <c r="D35">
        <v>4.79</v>
      </c>
      <c r="E35" s="4">
        <f t="shared" si="0"/>
        <v>134.21</v>
      </c>
      <c r="F35" s="4">
        <f t="shared" si="1"/>
        <v>3.5690336040533488</v>
      </c>
      <c r="G35">
        <f t="shared" si="2"/>
        <v>1</v>
      </c>
    </row>
    <row r="36" spans="1:7" ht="15.75" x14ac:dyDescent="0.25">
      <c r="A36" s="4">
        <v>24</v>
      </c>
      <c r="B36">
        <v>15</v>
      </c>
      <c r="C36">
        <v>102</v>
      </c>
      <c r="D36">
        <v>0.45</v>
      </c>
      <c r="E36" s="4">
        <f t="shared" si="0"/>
        <v>101.55</v>
      </c>
      <c r="F36" s="4">
        <f t="shared" si="1"/>
        <v>0.44313146233382572</v>
      </c>
      <c r="G36">
        <f t="shared" si="2"/>
        <v>0</v>
      </c>
    </row>
    <row r="37" spans="1:7" ht="15.75" x14ac:dyDescent="0.25">
      <c r="A37" s="4">
        <v>25</v>
      </c>
      <c r="B37">
        <v>14.5</v>
      </c>
      <c r="C37">
        <v>79</v>
      </c>
      <c r="D37">
        <v>0.18</v>
      </c>
      <c r="E37" s="4">
        <f t="shared" si="0"/>
        <v>78.819999999999993</v>
      </c>
      <c r="F37" s="4">
        <f t="shared" si="1"/>
        <v>0.22836843440751081</v>
      </c>
      <c r="G37">
        <f t="shared" si="2"/>
        <v>0</v>
      </c>
    </row>
    <row r="38" spans="1:7" ht="15.75" x14ac:dyDescent="0.25">
      <c r="A38" s="4">
        <v>26</v>
      </c>
      <c r="B38">
        <v>21</v>
      </c>
      <c r="C38">
        <v>245</v>
      </c>
      <c r="D38">
        <v>26.18</v>
      </c>
      <c r="E38" s="4">
        <f t="shared" si="0"/>
        <v>218.82</v>
      </c>
      <c r="F38" s="4">
        <f t="shared" si="1"/>
        <v>11.964171465131159</v>
      </c>
      <c r="G38">
        <f t="shared" si="2"/>
        <v>1</v>
      </c>
    </row>
    <row r="39" spans="1:7" ht="15.75" x14ac:dyDescent="0.25">
      <c r="A39" s="4">
        <v>27</v>
      </c>
      <c r="B39">
        <v>16.8</v>
      </c>
      <c r="C39">
        <v>126</v>
      </c>
      <c r="D39">
        <v>18.04</v>
      </c>
      <c r="E39" s="4">
        <f t="shared" si="0"/>
        <v>107.96000000000001</v>
      </c>
      <c r="F39" s="4">
        <f t="shared" si="1"/>
        <v>16.709892552797331</v>
      </c>
      <c r="G39">
        <f t="shared" si="2"/>
        <v>1</v>
      </c>
    </row>
    <row r="40" spans="1:7" ht="15.75" x14ac:dyDescent="0.25">
      <c r="A40" s="4">
        <v>28</v>
      </c>
      <c r="B40">
        <v>17.600000000000001</v>
      </c>
      <c r="C40">
        <v>161</v>
      </c>
      <c r="D40">
        <v>26.24</v>
      </c>
      <c r="E40" s="4">
        <f t="shared" si="0"/>
        <v>134.76</v>
      </c>
      <c r="F40" s="4">
        <f t="shared" si="1"/>
        <v>19.471653309587413</v>
      </c>
      <c r="G40">
        <f t="shared" si="2"/>
        <v>1</v>
      </c>
    </row>
    <row r="41" spans="1:7" ht="15.75" x14ac:dyDescent="0.25">
      <c r="A41" s="4">
        <v>29</v>
      </c>
      <c r="B41">
        <v>18.8</v>
      </c>
      <c r="C41">
        <v>151.82</v>
      </c>
      <c r="D41">
        <v>3.11</v>
      </c>
      <c r="E41" s="4">
        <f t="shared" si="0"/>
        <v>148.70999999999998</v>
      </c>
      <c r="F41" s="4">
        <f t="shared" si="1"/>
        <v>2.0913186739291239</v>
      </c>
      <c r="G41">
        <f t="shared" si="2"/>
        <v>1</v>
      </c>
    </row>
    <row r="42" spans="1:7" ht="15.75" x14ac:dyDescent="0.25">
      <c r="A42" s="4">
        <v>30</v>
      </c>
      <c r="B42">
        <v>16.5</v>
      </c>
      <c r="C42">
        <v>116</v>
      </c>
      <c r="D42">
        <v>3.13</v>
      </c>
      <c r="E42" s="4">
        <f t="shared" si="0"/>
        <v>112.87</v>
      </c>
      <c r="F42" s="4">
        <f t="shared" si="1"/>
        <v>2.7731017985292814</v>
      </c>
      <c r="G42">
        <f t="shared" si="2"/>
        <v>1</v>
      </c>
    </row>
    <row r="43" spans="1:7" ht="15.75" x14ac:dyDescent="0.25">
      <c r="A43" s="4">
        <v>31</v>
      </c>
      <c r="B43">
        <v>14.9</v>
      </c>
      <c r="C43">
        <v>85</v>
      </c>
      <c r="D43">
        <v>1.35</v>
      </c>
      <c r="E43" s="4">
        <f t="shared" si="0"/>
        <v>83.65</v>
      </c>
      <c r="F43" s="4">
        <f t="shared" si="1"/>
        <v>1.6138673042438731</v>
      </c>
      <c r="G43">
        <f t="shared" si="2"/>
        <v>1</v>
      </c>
    </row>
    <row r="44" spans="1:7" ht="15.75" x14ac:dyDescent="0.25">
      <c r="A44" s="4">
        <v>32</v>
      </c>
      <c r="B44">
        <v>20.6</v>
      </c>
      <c r="C44">
        <v>133</v>
      </c>
      <c r="D44">
        <v>7.16</v>
      </c>
      <c r="E44" s="4">
        <f t="shared" si="0"/>
        <v>125.84</v>
      </c>
      <c r="F44" s="4">
        <f t="shared" si="1"/>
        <v>5.6897647806738716</v>
      </c>
      <c r="G44">
        <f t="shared" si="2"/>
        <v>1</v>
      </c>
    </row>
    <row r="45" spans="1:7" ht="15.75" x14ac:dyDescent="0.25">
      <c r="A45" s="4">
        <v>33</v>
      </c>
      <c r="B45">
        <v>16.5</v>
      </c>
      <c r="C45">
        <v>127</v>
      </c>
      <c r="D45">
        <v>8.0500000000000007</v>
      </c>
      <c r="E45" s="4">
        <f t="shared" ref="E45:E76" si="4">IFERROR(C45-D45, "")</f>
        <v>118.95</v>
      </c>
      <c r="F45" s="4">
        <f t="shared" ref="F45:F76" si="5">IFERROR(D45/E45*100, "")</f>
        <v>6.7675493905002106</v>
      </c>
      <c r="G45">
        <f t="shared" ref="G45:G76" si="6">IF(F45&lt;$J$10, 0, 1)</f>
        <v>1</v>
      </c>
    </row>
    <row r="46" spans="1:7" ht="15.75" x14ac:dyDescent="0.25">
      <c r="A46" s="4">
        <v>34</v>
      </c>
      <c r="B46">
        <v>16</v>
      </c>
      <c r="C46">
        <v>99</v>
      </c>
      <c r="D46">
        <v>8.0399999999999991</v>
      </c>
      <c r="E46" s="4">
        <f t="shared" si="4"/>
        <v>90.960000000000008</v>
      </c>
      <c r="F46" s="4">
        <f t="shared" si="5"/>
        <v>8.8390501319261201</v>
      </c>
      <c r="G46">
        <f t="shared" si="6"/>
        <v>1</v>
      </c>
    </row>
    <row r="47" spans="1:7" ht="15.75" x14ac:dyDescent="0.25">
      <c r="A47" s="4">
        <v>35</v>
      </c>
      <c r="B47">
        <v>17.899999999999999</v>
      </c>
      <c r="C47">
        <v>145.51</v>
      </c>
      <c r="D47">
        <v>7.33</v>
      </c>
      <c r="E47" s="4">
        <f t="shared" si="4"/>
        <v>138.17999999999998</v>
      </c>
      <c r="F47" s="4">
        <f t="shared" si="5"/>
        <v>5.3046750615139677</v>
      </c>
      <c r="G47">
        <f t="shared" si="6"/>
        <v>1</v>
      </c>
    </row>
    <row r="48" spans="1:7" ht="15.75" x14ac:dyDescent="0.25">
      <c r="A48" s="4">
        <v>36</v>
      </c>
      <c r="B48">
        <v>17.5</v>
      </c>
      <c r="C48">
        <v>142.72999999999999</v>
      </c>
      <c r="D48">
        <v>21.96</v>
      </c>
      <c r="E48" s="4">
        <f t="shared" si="4"/>
        <v>120.76999999999998</v>
      </c>
      <c r="F48" s="4">
        <f t="shared" si="5"/>
        <v>18.183323673097625</v>
      </c>
      <c r="G48">
        <f t="shared" si="6"/>
        <v>1</v>
      </c>
    </row>
    <row r="49" spans="1:7" ht="15.75" x14ac:dyDescent="0.25">
      <c r="A49" s="4">
        <v>37</v>
      </c>
      <c r="B49">
        <v>18.100000000000001</v>
      </c>
      <c r="C49">
        <v>155.72999999999999</v>
      </c>
      <c r="D49">
        <v>20.41</v>
      </c>
      <c r="E49" s="4">
        <f t="shared" si="4"/>
        <v>135.32</v>
      </c>
      <c r="F49" s="4">
        <f t="shared" si="5"/>
        <v>15.082766775051731</v>
      </c>
      <c r="G49">
        <f t="shared" si="6"/>
        <v>1</v>
      </c>
    </row>
    <row r="50" spans="1:7" ht="15.75" x14ac:dyDescent="0.25">
      <c r="A50" s="4">
        <v>38</v>
      </c>
      <c r="B50">
        <v>16.8</v>
      </c>
      <c r="C50">
        <v>123.05</v>
      </c>
      <c r="D50">
        <v>12.14</v>
      </c>
      <c r="E50" s="4">
        <f t="shared" si="4"/>
        <v>110.91</v>
      </c>
      <c r="F50" s="4">
        <f t="shared" si="5"/>
        <v>10.94581191957443</v>
      </c>
      <c r="G50">
        <f t="shared" si="6"/>
        <v>1</v>
      </c>
    </row>
    <row r="51" spans="1:7" ht="15.75" x14ac:dyDescent="0.25">
      <c r="A51" s="4">
        <v>39</v>
      </c>
      <c r="B51">
        <v>17.5</v>
      </c>
      <c r="C51">
        <v>148.5</v>
      </c>
      <c r="D51">
        <v>17.46</v>
      </c>
      <c r="E51" s="4">
        <f t="shared" si="4"/>
        <v>131.04</v>
      </c>
      <c r="F51" s="4">
        <f t="shared" si="5"/>
        <v>13.324175824175827</v>
      </c>
      <c r="G51">
        <f t="shared" si="6"/>
        <v>1</v>
      </c>
    </row>
    <row r="52" spans="1:7" ht="15.75" x14ac:dyDescent="0.25">
      <c r="A52" s="4">
        <v>40</v>
      </c>
      <c r="B52">
        <v>15.7</v>
      </c>
      <c r="C52">
        <v>106.42</v>
      </c>
      <c r="D52">
        <v>10.93</v>
      </c>
      <c r="E52" s="4">
        <f t="shared" si="4"/>
        <v>95.490000000000009</v>
      </c>
      <c r="F52" s="4">
        <f t="shared" si="5"/>
        <v>11.446224735574404</v>
      </c>
      <c r="G52">
        <f t="shared" si="6"/>
        <v>1</v>
      </c>
    </row>
    <row r="53" spans="1:7" ht="15.75" x14ac:dyDescent="0.25">
      <c r="A53" s="4">
        <v>41</v>
      </c>
      <c r="B53">
        <v>17.8</v>
      </c>
      <c r="C53">
        <v>141.91999999999999</v>
      </c>
      <c r="D53">
        <v>3.66</v>
      </c>
      <c r="E53" s="4">
        <f t="shared" si="4"/>
        <v>138.26</v>
      </c>
      <c r="F53" s="4">
        <f t="shared" si="5"/>
        <v>2.6471864602922035</v>
      </c>
      <c r="G53">
        <f t="shared" si="6"/>
        <v>1</v>
      </c>
    </row>
    <row r="54" spans="1:7" ht="15.75" x14ac:dyDescent="0.25">
      <c r="A54" s="4">
        <v>42</v>
      </c>
      <c r="B54">
        <v>20.8</v>
      </c>
      <c r="C54">
        <v>223.92</v>
      </c>
      <c r="D54">
        <v>5.21</v>
      </c>
      <c r="E54" s="4">
        <f t="shared" si="4"/>
        <v>218.70999999999998</v>
      </c>
      <c r="F54" s="4">
        <f t="shared" si="5"/>
        <v>2.3821498788349871</v>
      </c>
      <c r="G54">
        <f t="shared" si="6"/>
        <v>1</v>
      </c>
    </row>
    <row r="55" spans="1:7" ht="15.75" x14ac:dyDescent="0.25">
      <c r="A55" s="4">
        <v>43</v>
      </c>
      <c r="B55">
        <v>18.899999999999999</v>
      </c>
      <c r="C55">
        <v>157.24</v>
      </c>
      <c r="D55">
        <v>3.25</v>
      </c>
      <c r="E55" s="4">
        <f t="shared" si="4"/>
        <v>153.99</v>
      </c>
      <c r="F55" s="4">
        <f t="shared" si="5"/>
        <v>2.1105266575751669</v>
      </c>
      <c r="G55">
        <f t="shared" si="6"/>
        <v>1</v>
      </c>
    </row>
    <row r="56" spans="1:7" ht="15.75" x14ac:dyDescent="0.25">
      <c r="A56" s="4">
        <v>44</v>
      </c>
      <c r="B56">
        <v>18</v>
      </c>
      <c r="C56">
        <v>135.68</v>
      </c>
      <c r="D56">
        <v>2.44</v>
      </c>
      <c r="E56" s="4">
        <f t="shared" si="4"/>
        <v>133.24</v>
      </c>
      <c r="F56" s="4">
        <f t="shared" si="5"/>
        <v>1.8312818973281293</v>
      </c>
      <c r="G56">
        <f t="shared" si="6"/>
        <v>1</v>
      </c>
    </row>
    <row r="57" spans="1:7" ht="15.75" x14ac:dyDescent="0.25">
      <c r="A57" s="4">
        <v>45</v>
      </c>
      <c r="B57">
        <v>16.7</v>
      </c>
      <c r="C57">
        <v>120.02</v>
      </c>
      <c r="D57">
        <v>2.88</v>
      </c>
      <c r="E57" s="4">
        <f t="shared" si="4"/>
        <v>117.14</v>
      </c>
      <c r="F57" s="4">
        <f t="shared" si="5"/>
        <v>2.4585965511353933</v>
      </c>
      <c r="G57">
        <f t="shared" si="6"/>
        <v>1</v>
      </c>
    </row>
    <row r="58" spans="1:7" ht="15.75" x14ac:dyDescent="0.25">
      <c r="A58" s="4">
        <v>46</v>
      </c>
      <c r="B58">
        <v>16</v>
      </c>
      <c r="C58">
        <v>98.96</v>
      </c>
      <c r="D58">
        <v>2.98</v>
      </c>
      <c r="E58" s="4">
        <f t="shared" si="4"/>
        <v>95.97999999999999</v>
      </c>
      <c r="F58" s="4">
        <f t="shared" si="5"/>
        <v>3.1048135028130863</v>
      </c>
      <c r="G58">
        <f t="shared" si="6"/>
        <v>1</v>
      </c>
    </row>
    <row r="59" spans="1:7" ht="15.75" x14ac:dyDescent="0.25">
      <c r="A59" s="4">
        <v>47</v>
      </c>
      <c r="B59">
        <v>22.2</v>
      </c>
      <c r="C59">
        <v>279</v>
      </c>
      <c r="D59">
        <v>13.81</v>
      </c>
      <c r="E59" s="4">
        <f t="shared" si="4"/>
        <v>265.19</v>
      </c>
      <c r="F59" s="4">
        <f t="shared" si="5"/>
        <v>5.2075870130849582</v>
      </c>
      <c r="G59">
        <f t="shared" si="6"/>
        <v>1</v>
      </c>
    </row>
    <row r="60" spans="1:7" ht="15.75" x14ac:dyDescent="0.25">
      <c r="A60" s="4">
        <v>48</v>
      </c>
      <c r="B60">
        <v>18.3</v>
      </c>
      <c r="C60">
        <v>164</v>
      </c>
      <c r="D60">
        <v>6.45</v>
      </c>
      <c r="E60" s="4">
        <f t="shared" si="4"/>
        <v>157.55000000000001</v>
      </c>
      <c r="F60" s="4">
        <f t="shared" si="5"/>
        <v>4.093938432243732</v>
      </c>
      <c r="G60">
        <f t="shared" si="6"/>
        <v>1</v>
      </c>
    </row>
    <row r="61" spans="1:7" ht="15.75" x14ac:dyDescent="0.25">
      <c r="A61" s="4">
        <v>49</v>
      </c>
      <c r="B61">
        <v>16.5</v>
      </c>
      <c r="C61">
        <v>131</v>
      </c>
      <c r="D61">
        <v>5.55</v>
      </c>
      <c r="E61" s="4">
        <f t="shared" si="4"/>
        <v>125.45</v>
      </c>
      <c r="F61" s="4">
        <f t="shared" si="5"/>
        <v>4.4240733359904336</v>
      </c>
      <c r="G61">
        <f t="shared" si="6"/>
        <v>1</v>
      </c>
    </row>
    <row r="62" spans="1:7" ht="15.75" x14ac:dyDescent="0.25">
      <c r="A62" s="4">
        <v>50</v>
      </c>
      <c r="B62">
        <v>14.2</v>
      </c>
      <c r="C62">
        <v>77</v>
      </c>
      <c r="D62">
        <v>2.02</v>
      </c>
      <c r="E62" s="4">
        <f t="shared" si="4"/>
        <v>74.98</v>
      </c>
      <c r="F62" s="4">
        <f t="shared" si="5"/>
        <v>2.6940517471325682</v>
      </c>
      <c r="G62">
        <f t="shared" si="6"/>
        <v>1</v>
      </c>
    </row>
    <row r="63" spans="1:7" ht="15.75" x14ac:dyDescent="0.25">
      <c r="A63" s="4">
        <v>51</v>
      </c>
      <c r="B63">
        <v>18.100000000000001</v>
      </c>
      <c r="C63">
        <v>111</v>
      </c>
      <c r="D63">
        <v>3.39</v>
      </c>
      <c r="E63" s="4">
        <f t="shared" si="4"/>
        <v>107.61</v>
      </c>
      <c r="F63" s="4">
        <f t="shared" si="5"/>
        <v>3.1502648452746032</v>
      </c>
      <c r="G63">
        <f t="shared" si="6"/>
        <v>1</v>
      </c>
    </row>
    <row r="64" spans="1:7" ht="15.75" x14ac:dyDescent="0.25">
      <c r="A64" s="4">
        <v>52</v>
      </c>
      <c r="B64">
        <v>15</v>
      </c>
      <c r="C64">
        <v>90</v>
      </c>
      <c r="D64">
        <v>2.11</v>
      </c>
      <c r="E64" s="4">
        <f t="shared" si="4"/>
        <v>87.89</v>
      </c>
      <c r="F64" s="4">
        <f t="shared" si="5"/>
        <v>2.4007281829559677</v>
      </c>
      <c r="G64">
        <f t="shared" si="6"/>
        <v>1</v>
      </c>
    </row>
    <row r="65" spans="1:7" ht="15.75" x14ac:dyDescent="0.25">
      <c r="A65" s="4">
        <v>53</v>
      </c>
      <c r="B65">
        <v>15.4</v>
      </c>
      <c r="C65">
        <v>88</v>
      </c>
      <c r="D65">
        <v>2.4500000000000002</v>
      </c>
      <c r="E65" s="4">
        <f t="shared" si="4"/>
        <v>85.55</v>
      </c>
      <c r="F65" s="4">
        <f t="shared" si="5"/>
        <v>2.8638223261250735</v>
      </c>
      <c r="G65">
        <f t="shared" si="6"/>
        <v>1</v>
      </c>
    </row>
    <row r="66" spans="1:7" ht="15.75" x14ac:dyDescent="0.25">
      <c r="A66" s="4">
        <v>54</v>
      </c>
      <c r="B66">
        <v>14</v>
      </c>
      <c r="C66">
        <v>67</v>
      </c>
      <c r="D66">
        <v>0.5</v>
      </c>
      <c r="E66" s="4">
        <f t="shared" si="4"/>
        <v>66.5</v>
      </c>
      <c r="F66" s="4">
        <f t="shared" si="5"/>
        <v>0.75187969924812026</v>
      </c>
      <c r="G66">
        <f t="shared" si="6"/>
        <v>0</v>
      </c>
    </row>
    <row r="67" spans="1:7" ht="15.75" x14ac:dyDescent="0.25">
      <c r="A67" s="4">
        <v>55</v>
      </c>
      <c r="B67">
        <v>17</v>
      </c>
      <c r="C67">
        <v>111</v>
      </c>
      <c r="D67">
        <v>6.03</v>
      </c>
      <c r="E67" s="4">
        <f t="shared" si="4"/>
        <v>104.97</v>
      </c>
      <c r="F67" s="4">
        <f t="shared" si="5"/>
        <v>5.7444984281223208</v>
      </c>
      <c r="G67">
        <f t="shared" si="6"/>
        <v>1</v>
      </c>
    </row>
    <row r="68" spans="1:7" ht="15.75" x14ac:dyDescent="0.25">
      <c r="A68" s="4">
        <v>56</v>
      </c>
      <c r="B68">
        <v>14.8</v>
      </c>
      <c r="C68">
        <v>85</v>
      </c>
      <c r="D68">
        <v>3.83</v>
      </c>
      <c r="E68" s="4">
        <f t="shared" si="4"/>
        <v>81.17</v>
      </c>
      <c r="F68" s="4">
        <f t="shared" si="5"/>
        <v>4.7184920537144261</v>
      </c>
      <c r="G68">
        <f t="shared" si="6"/>
        <v>1</v>
      </c>
    </row>
    <row r="69" spans="1:7" ht="15.75" x14ac:dyDescent="0.25">
      <c r="A69" s="4">
        <v>57</v>
      </c>
      <c r="B69">
        <v>14</v>
      </c>
      <c r="C69">
        <v>70</v>
      </c>
      <c r="D69">
        <v>0.26</v>
      </c>
      <c r="E69" s="4">
        <f t="shared" si="4"/>
        <v>69.739999999999995</v>
      </c>
      <c r="F69" s="4">
        <f t="shared" si="5"/>
        <v>0.37281330656724981</v>
      </c>
      <c r="G69">
        <f t="shared" si="6"/>
        <v>0</v>
      </c>
    </row>
    <row r="70" spans="1:7" ht="15.75" x14ac:dyDescent="0.25">
      <c r="A70" s="4">
        <v>58</v>
      </c>
      <c r="B70">
        <v>15.8</v>
      </c>
      <c r="C70">
        <v>97</v>
      </c>
      <c r="D70">
        <v>2.4300000000000002</v>
      </c>
      <c r="E70" s="4">
        <f t="shared" si="4"/>
        <v>94.57</v>
      </c>
      <c r="F70" s="4">
        <f t="shared" si="5"/>
        <v>2.5695252194141909</v>
      </c>
      <c r="G70">
        <f t="shared" si="6"/>
        <v>1</v>
      </c>
    </row>
    <row r="71" spans="1:7" ht="15.75" x14ac:dyDescent="0.25">
      <c r="A71" s="4">
        <v>59</v>
      </c>
      <c r="B71">
        <v>16.100000000000001</v>
      </c>
      <c r="C71">
        <v>128</v>
      </c>
      <c r="D71">
        <v>3.58</v>
      </c>
      <c r="E71" s="4">
        <f t="shared" si="4"/>
        <v>124.42</v>
      </c>
      <c r="F71" s="4">
        <f t="shared" si="5"/>
        <v>2.8773509082141135</v>
      </c>
      <c r="G71">
        <f t="shared" si="6"/>
        <v>1</v>
      </c>
    </row>
    <row r="72" spans="1:7" ht="15.75" x14ac:dyDescent="0.25">
      <c r="A72" s="4">
        <v>60</v>
      </c>
      <c r="B72">
        <v>16.7</v>
      </c>
      <c r="C72">
        <v>111</v>
      </c>
      <c r="D72">
        <v>1.76</v>
      </c>
      <c r="E72" s="4">
        <f t="shared" si="4"/>
        <v>109.24</v>
      </c>
      <c r="F72" s="4">
        <f t="shared" si="5"/>
        <v>1.6111314536799708</v>
      </c>
      <c r="G72">
        <f t="shared" si="6"/>
        <v>1</v>
      </c>
    </row>
    <row r="73" spans="1:7" ht="15.75" x14ac:dyDescent="0.25">
      <c r="A73" s="4">
        <v>61</v>
      </c>
      <c r="B73">
        <v>15.7</v>
      </c>
      <c r="C73">
        <v>91</v>
      </c>
      <c r="D73">
        <v>0.5</v>
      </c>
      <c r="E73" s="4">
        <f t="shared" si="4"/>
        <v>90.5</v>
      </c>
      <c r="F73" s="4">
        <f t="shared" si="5"/>
        <v>0.55248618784530379</v>
      </c>
      <c r="G73">
        <f t="shared" si="6"/>
        <v>0</v>
      </c>
    </row>
    <row r="74" spans="1:7" ht="15.75" x14ac:dyDescent="0.25">
      <c r="A74" s="4">
        <v>62</v>
      </c>
      <c r="B74">
        <v>14.7</v>
      </c>
      <c r="C74">
        <v>79</v>
      </c>
      <c r="D74">
        <v>0.8</v>
      </c>
      <c r="E74" s="4">
        <f t="shared" si="4"/>
        <v>78.2</v>
      </c>
      <c r="F74" s="4">
        <f t="shared" si="5"/>
        <v>1.0230179028132993</v>
      </c>
      <c r="G74">
        <f t="shared" si="6"/>
        <v>0</v>
      </c>
    </row>
    <row r="75" spans="1:7" ht="15.75" x14ac:dyDescent="0.25">
      <c r="A75" s="4">
        <v>63</v>
      </c>
      <c r="B75">
        <v>19.5</v>
      </c>
      <c r="C75">
        <v>176</v>
      </c>
      <c r="D75">
        <v>2.79</v>
      </c>
      <c r="E75" s="4">
        <f t="shared" si="4"/>
        <v>173.21</v>
      </c>
      <c r="F75" s="4">
        <f t="shared" si="5"/>
        <v>1.610761503377403</v>
      </c>
      <c r="G75">
        <f t="shared" si="6"/>
        <v>1</v>
      </c>
    </row>
    <row r="76" spans="1:7" ht="15.75" x14ac:dyDescent="0.25">
      <c r="A76" s="4">
        <v>64</v>
      </c>
      <c r="B76">
        <v>16.399999999999999</v>
      </c>
      <c r="C76">
        <v>107</v>
      </c>
      <c r="D76">
        <v>1.49</v>
      </c>
      <c r="E76" s="4">
        <f t="shared" si="4"/>
        <v>105.51</v>
      </c>
      <c r="F76" s="4">
        <f t="shared" si="5"/>
        <v>1.4121884181594162</v>
      </c>
      <c r="G76">
        <f t="shared" si="6"/>
        <v>1</v>
      </c>
    </row>
    <row r="77" spans="1:7" ht="15.75" x14ac:dyDescent="0.25">
      <c r="A77" s="4">
        <v>65</v>
      </c>
      <c r="B77">
        <v>15</v>
      </c>
      <c r="C77">
        <v>70</v>
      </c>
      <c r="D77">
        <v>0.23</v>
      </c>
      <c r="E77" s="4">
        <f t="shared" ref="E77:E108" si="7">IFERROR(C77-D77, "")</f>
        <v>69.77</v>
      </c>
      <c r="F77" s="4">
        <f t="shared" ref="F77:F108" si="8">IFERROR(D77/E77*100, "")</f>
        <v>0.32965457933209119</v>
      </c>
      <c r="G77">
        <f t="shared" ref="G77:G108" si="9">IF(F77&lt;$J$10, 0, 1)</f>
        <v>0</v>
      </c>
    </row>
    <row r="78" spans="1:7" ht="15.75" x14ac:dyDescent="0.25">
      <c r="A78" s="4">
        <v>66</v>
      </c>
      <c r="B78">
        <v>15.1</v>
      </c>
      <c r="C78">
        <v>84</v>
      </c>
      <c r="D78">
        <v>0.44</v>
      </c>
      <c r="E78" s="4">
        <f t="shared" si="7"/>
        <v>83.56</v>
      </c>
      <c r="F78" s="4">
        <f t="shared" si="8"/>
        <v>0.52656773575873628</v>
      </c>
      <c r="G78">
        <f t="shared" si="9"/>
        <v>0</v>
      </c>
    </row>
    <row r="79" spans="1:7" ht="15.75" x14ac:dyDescent="0.25">
      <c r="A79" s="4">
        <v>67</v>
      </c>
      <c r="B79">
        <v>15.4</v>
      </c>
      <c r="C79">
        <v>86</v>
      </c>
      <c r="D79">
        <v>7.1</v>
      </c>
      <c r="E79" s="4">
        <f t="shared" si="7"/>
        <v>78.900000000000006</v>
      </c>
      <c r="F79" s="4">
        <f t="shared" si="8"/>
        <v>8.9987325728770582</v>
      </c>
      <c r="G79">
        <f t="shared" si="9"/>
        <v>1</v>
      </c>
    </row>
    <row r="80" spans="1:7" ht="15.75" x14ac:dyDescent="0.25">
      <c r="A80" s="4">
        <v>68</v>
      </c>
      <c r="B80">
        <v>16.8</v>
      </c>
      <c r="C80">
        <v>111.8</v>
      </c>
      <c r="D80">
        <v>2.88</v>
      </c>
      <c r="E80" s="4">
        <f t="shared" si="7"/>
        <v>108.92</v>
      </c>
      <c r="F80" s="4">
        <f t="shared" si="8"/>
        <v>2.6441424899008448</v>
      </c>
      <c r="G80">
        <f t="shared" si="9"/>
        <v>1</v>
      </c>
    </row>
    <row r="81" spans="1:7" ht="15.75" x14ac:dyDescent="0.25">
      <c r="A81" s="4">
        <v>69</v>
      </c>
      <c r="B81">
        <v>17.3</v>
      </c>
      <c r="C81">
        <v>137.69999999999999</v>
      </c>
      <c r="D81">
        <v>8.77</v>
      </c>
      <c r="E81" s="4">
        <f t="shared" si="7"/>
        <v>128.92999999999998</v>
      </c>
      <c r="F81" s="4">
        <f t="shared" si="8"/>
        <v>6.8021406965019793</v>
      </c>
      <c r="G81">
        <f t="shared" si="9"/>
        <v>1</v>
      </c>
    </row>
    <row r="82" spans="1:7" ht="15.75" x14ac:dyDescent="0.25">
      <c r="A82" s="4">
        <v>70</v>
      </c>
      <c r="B82">
        <v>16.5</v>
      </c>
      <c r="C82">
        <v>106.1</v>
      </c>
      <c r="D82">
        <v>0.84</v>
      </c>
      <c r="E82" s="4">
        <f t="shared" si="7"/>
        <v>105.25999999999999</v>
      </c>
      <c r="F82" s="4">
        <f t="shared" si="8"/>
        <v>0.79802394071822147</v>
      </c>
      <c r="G82">
        <f t="shared" si="9"/>
        <v>0</v>
      </c>
    </row>
    <row r="83" spans="1:7" ht="15.75" x14ac:dyDescent="0.25">
      <c r="A83" s="4">
        <v>71</v>
      </c>
      <c r="B83">
        <v>15.3</v>
      </c>
      <c r="C83">
        <v>90.8</v>
      </c>
      <c r="D83">
        <v>0.33</v>
      </c>
      <c r="E83" s="4">
        <f t="shared" si="7"/>
        <v>90.47</v>
      </c>
      <c r="F83" s="4">
        <f t="shared" si="8"/>
        <v>0.36476179949154419</v>
      </c>
      <c r="G83">
        <f t="shared" si="9"/>
        <v>0</v>
      </c>
    </row>
    <row r="84" spans="1:7" ht="15.75" x14ac:dyDescent="0.25">
      <c r="A84" s="4">
        <v>72</v>
      </c>
      <c r="B84">
        <v>13.3</v>
      </c>
      <c r="C84">
        <v>59.2</v>
      </c>
      <c r="D84">
        <v>0.3</v>
      </c>
      <c r="E84" s="4">
        <f t="shared" si="7"/>
        <v>58.900000000000006</v>
      </c>
      <c r="F84" s="4">
        <f t="shared" si="8"/>
        <v>0.50933786078098464</v>
      </c>
      <c r="G84">
        <f t="shared" si="9"/>
        <v>0</v>
      </c>
    </row>
    <row r="85" spans="1:7" ht="15.75" x14ac:dyDescent="0.25">
      <c r="A85" s="4">
        <v>73</v>
      </c>
      <c r="B85">
        <v>18.399999999999999</v>
      </c>
      <c r="C85">
        <v>161.30000000000001</v>
      </c>
      <c r="D85">
        <v>1.36</v>
      </c>
      <c r="E85" s="4">
        <f t="shared" si="7"/>
        <v>159.94</v>
      </c>
      <c r="F85" s="4">
        <f t="shared" si="8"/>
        <v>0.85031886957609104</v>
      </c>
      <c r="G85">
        <f t="shared" si="9"/>
        <v>0</v>
      </c>
    </row>
    <row r="86" spans="1:7" ht="15.75" x14ac:dyDescent="0.25">
      <c r="A86" s="4">
        <v>74</v>
      </c>
      <c r="B86">
        <v>16.8</v>
      </c>
      <c r="C86">
        <v>135.9</v>
      </c>
      <c r="D86">
        <v>4.09</v>
      </c>
      <c r="E86" s="4">
        <f t="shared" si="7"/>
        <v>131.81</v>
      </c>
      <c r="F86" s="4">
        <f t="shared" si="8"/>
        <v>3.1029512176617859</v>
      </c>
      <c r="G86">
        <f t="shared" si="9"/>
        <v>1</v>
      </c>
    </row>
    <row r="87" spans="1:7" ht="15.75" x14ac:dyDescent="0.25">
      <c r="A87" s="4">
        <v>75</v>
      </c>
      <c r="B87">
        <v>16</v>
      </c>
      <c r="C87">
        <v>114.5</v>
      </c>
      <c r="D87">
        <v>1.25</v>
      </c>
      <c r="E87" s="4">
        <f t="shared" si="7"/>
        <v>113.25</v>
      </c>
      <c r="F87" s="4">
        <f t="shared" si="8"/>
        <v>1.1037527593818985</v>
      </c>
      <c r="G87">
        <f t="shared" si="9"/>
        <v>1</v>
      </c>
    </row>
    <row r="88" spans="1:7" ht="15.75" x14ac:dyDescent="0.25">
      <c r="A88" s="4">
        <v>76</v>
      </c>
      <c r="B88">
        <v>14.7</v>
      </c>
      <c r="C88">
        <v>92.7</v>
      </c>
      <c r="D88">
        <v>3.93</v>
      </c>
      <c r="E88" s="4">
        <f t="shared" si="7"/>
        <v>88.77</v>
      </c>
      <c r="F88" s="4">
        <f t="shared" si="8"/>
        <v>4.4271713416694833</v>
      </c>
      <c r="G88">
        <f t="shared" si="9"/>
        <v>1</v>
      </c>
    </row>
    <row r="89" spans="1:7" ht="15.75" x14ac:dyDescent="0.25">
      <c r="A89" s="4">
        <v>77</v>
      </c>
      <c r="B89">
        <v>13.8</v>
      </c>
      <c r="C89">
        <v>69.5</v>
      </c>
      <c r="D89">
        <v>0.45</v>
      </c>
      <c r="E89" s="4">
        <f t="shared" si="7"/>
        <v>69.05</v>
      </c>
      <c r="F89" s="4">
        <f t="shared" si="8"/>
        <v>0.65170166545981179</v>
      </c>
      <c r="G89">
        <f t="shared" si="9"/>
        <v>0</v>
      </c>
    </row>
    <row r="90" spans="1:7" ht="15.75" x14ac:dyDescent="0.25">
      <c r="A90" s="4">
        <v>78</v>
      </c>
      <c r="B90">
        <v>15.7</v>
      </c>
      <c r="C90">
        <v>99</v>
      </c>
      <c r="D90">
        <v>2.4900000000000002</v>
      </c>
      <c r="E90" s="4">
        <f t="shared" si="7"/>
        <v>96.51</v>
      </c>
      <c r="F90" s="4">
        <f t="shared" si="8"/>
        <v>2.5800435188063418</v>
      </c>
      <c r="G90">
        <f t="shared" si="9"/>
        <v>1</v>
      </c>
    </row>
    <row r="91" spans="1:7" ht="15.75" x14ac:dyDescent="0.25">
      <c r="A91" s="4">
        <v>79</v>
      </c>
      <c r="B91">
        <v>15.9</v>
      </c>
      <c r="C91">
        <v>93.5</v>
      </c>
      <c r="D91">
        <v>1.42</v>
      </c>
      <c r="E91" s="4">
        <f t="shared" si="7"/>
        <v>92.08</v>
      </c>
      <c r="F91" s="4">
        <f t="shared" si="8"/>
        <v>1.5421372719374458</v>
      </c>
      <c r="G91">
        <f t="shared" si="9"/>
        <v>1</v>
      </c>
    </row>
    <row r="92" spans="1:7" ht="15.75" x14ac:dyDescent="0.25">
      <c r="A92" s="4">
        <v>80</v>
      </c>
      <c r="B92">
        <v>18.8</v>
      </c>
      <c r="C92">
        <v>184.4</v>
      </c>
      <c r="D92">
        <v>10.4</v>
      </c>
      <c r="E92" s="4">
        <f t="shared" si="7"/>
        <v>174</v>
      </c>
      <c r="F92" s="4">
        <f t="shared" si="8"/>
        <v>5.9770114942528734</v>
      </c>
      <c r="G92">
        <f t="shared" si="9"/>
        <v>1</v>
      </c>
    </row>
    <row r="93" spans="1:7" ht="15.75" x14ac:dyDescent="0.25">
      <c r="A93" s="4">
        <v>81</v>
      </c>
      <c r="B93">
        <v>15.9</v>
      </c>
      <c r="C93">
        <v>97.3</v>
      </c>
      <c r="D93">
        <v>2.88</v>
      </c>
      <c r="E93" s="4">
        <f t="shared" si="7"/>
        <v>94.42</v>
      </c>
      <c r="F93" s="4">
        <f t="shared" si="8"/>
        <v>3.0502012285532722</v>
      </c>
      <c r="G93">
        <f t="shared" si="9"/>
        <v>1</v>
      </c>
    </row>
    <row r="94" spans="1:7" ht="15.75" x14ac:dyDescent="0.25">
      <c r="A94" s="4">
        <v>82</v>
      </c>
      <c r="B94">
        <v>18.600000000000001</v>
      </c>
      <c r="C94">
        <v>164.6</v>
      </c>
      <c r="D94">
        <v>11.59</v>
      </c>
      <c r="E94" s="4">
        <f t="shared" si="7"/>
        <v>153.01</v>
      </c>
      <c r="F94" s="4">
        <f t="shared" si="8"/>
        <v>7.5746683223318749</v>
      </c>
      <c r="G94">
        <f t="shared" si="9"/>
        <v>1</v>
      </c>
    </row>
    <row r="95" spans="1:7" ht="15.75" x14ac:dyDescent="0.25">
      <c r="A95" s="4">
        <v>83</v>
      </c>
      <c r="B95">
        <v>12.7</v>
      </c>
      <c r="C95">
        <v>52</v>
      </c>
      <c r="D95">
        <v>0.4</v>
      </c>
      <c r="E95" s="4">
        <f t="shared" si="7"/>
        <v>51.6</v>
      </c>
      <c r="F95" s="4">
        <f t="shared" si="8"/>
        <v>0.77519379844961245</v>
      </c>
      <c r="G95">
        <f t="shared" si="9"/>
        <v>0</v>
      </c>
    </row>
    <row r="96" spans="1:7" ht="15.75" x14ac:dyDescent="0.25">
      <c r="A96" s="4">
        <v>84</v>
      </c>
      <c r="B96">
        <v>15.7</v>
      </c>
      <c r="C96">
        <v>86</v>
      </c>
      <c r="D96">
        <v>1.04</v>
      </c>
      <c r="E96" s="4">
        <f t="shared" si="7"/>
        <v>84.96</v>
      </c>
      <c r="F96" s="4">
        <f t="shared" si="8"/>
        <v>1.2241054613935971</v>
      </c>
      <c r="G96">
        <f t="shared" si="9"/>
        <v>1</v>
      </c>
    </row>
    <row r="97" spans="1:7" ht="15.75" x14ac:dyDescent="0.25">
      <c r="A97" s="4">
        <v>85</v>
      </c>
      <c r="B97">
        <v>17.8</v>
      </c>
      <c r="C97">
        <v>157.1</v>
      </c>
      <c r="D97">
        <v>3</v>
      </c>
      <c r="E97" s="4">
        <f t="shared" si="7"/>
        <v>154.1</v>
      </c>
      <c r="F97" s="4">
        <f t="shared" si="8"/>
        <v>1.9467878001297858</v>
      </c>
      <c r="G97">
        <f t="shared" si="9"/>
        <v>1</v>
      </c>
    </row>
    <row r="98" spans="1:7" ht="15.75" x14ac:dyDescent="0.25">
      <c r="A98" s="4">
        <v>86</v>
      </c>
      <c r="B98">
        <v>20.3</v>
      </c>
      <c r="C98">
        <v>242.8</v>
      </c>
      <c r="D98">
        <v>29.43</v>
      </c>
      <c r="E98" s="4">
        <f t="shared" si="7"/>
        <v>213.37</v>
      </c>
      <c r="F98" s="4">
        <f t="shared" si="8"/>
        <v>13.792941838121573</v>
      </c>
      <c r="G98">
        <f t="shared" si="9"/>
        <v>1</v>
      </c>
    </row>
    <row r="99" spans="1:7" ht="15.75" x14ac:dyDescent="0.25">
      <c r="A99" s="4">
        <v>87</v>
      </c>
      <c r="B99">
        <v>16.899999999999999</v>
      </c>
      <c r="C99">
        <v>139.5</v>
      </c>
      <c r="D99">
        <v>19.579999999999998</v>
      </c>
      <c r="E99" s="4">
        <f t="shared" si="7"/>
        <v>119.92</v>
      </c>
      <c r="F99" s="4">
        <f t="shared" si="8"/>
        <v>16.327551701134087</v>
      </c>
      <c r="G99">
        <f t="shared" si="9"/>
        <v>1</v>
      </c>
    </row>
    <row r="100" spans="1:7" ht="15.75" x14ac:dyDescent="0.25">
      <c r="A100" s="4">
        <v>88</v>
      </c>
      <c r="B100">
        <v>15.7</v>
      </c>
      <c r="C100">
        <v>110.2</v>
      </c>
      <c r="D100">
        <v>19.329999999999998</v>
      </c>
      <c r="E100" s="4">
        <f t="shared" si="7"/>
        <v>90.87</v>
      </c>
      <c r="F100" s="4">
        <f t="shared" si="8"/>
        <v>21.272147023219983</v>
      </c>
      <c r="G100">
        <f t="shared" si="9"/>
        <v>1</v>
      </c>
    </row>
    <row r="101" spans="1:7" ht="15.75" x14ac:dyDescent="0.25">
      <c r="A101" s="4">
        <v>89</v>
      </c>
      <c r="B101">
        <v>17.5</v>
      </c>
      <c r="C101">
        <v>148.80000000000001</v>
      </c>
      <c r="D101">
        <v>12.08</v>
      </c>
      <c r="E101" s="4">
        <f t="shared" si="7"/>
        <v>136.72</v>
      </c>
      <c r="F101" s="4">
        <f t="shared" si="8"/>
        <v>8.8355763604447048</v>
      </c>
      <c r="G101">
        <f t="shared" si="9"/>
        <v>1</v>
      </c>
    </row>
    <row r="102" spans="1:7" ht="15.75" x14ac:dyDescent="0.25">
      <c r="A102" s="4">
        <v>90</v>
      </c>
      <c r="B102">
        <v>15</v>
      </c>
      <c r="C102">
        <v>84.61</v>
      </c>
      <c r="D102">
        <v>0.78</v>
      </c>
      <c r="E102" s="4">
        <f t="shared" si="7"/>
        <v>83.83</v>
      </c>
      <c r="F102" s="4">
        <f t="shared" si="8"/>
        <v>0.93045449123225576</v>
      </c>
      <c r="G102">
        <f t="shared" si="9"/>
        <v>0</v>
      </c>
    </row>
    <row r="103" spans="1:7" ht="15.75" x14ac:dyDescent="0.25">
      <c r="A103" s="4">
        <v>91</v>
      </c>
      <c r="B103">
        <v>16.7</v>
      </c>
      <c r="C103">
        <v>122.8</v>
      </c>
      <c r="D103">
        <v>0.89</v>
      </c>
      <c r="E103" s="4">
        <f t="shared" si="7"/>
        <v>121.91</v>
      </c>
      <c r="F103" s="4">
        <f t="shared" si="8"/>
        <v>0.73004675580346157</v>
      </c>
      <c r="G103">
        <f t="shared" si="9"/>
        <v>0</v>
      </c>
    </row>
    <row r="104" spans="1:7" ht="15.75" x14ac:dyDescent="0.25">
      <c r="A104" s="4">
        <v>92</v>
      </c>
      <c r="B104">
        <v>17.5</v>
      </c>
      <c r="C104">
        <v>137.9</v>
      </c>
      <c r="D104">
        <v>2.16</v>
      </c>
      <c r="E104" s="4">
        <f t="shared" si="7"/>
        <v>135.74</v>
      </c>
      <c r="F104" s="4">
        <f t="shared" si="8"/>
        <v>1.5912774421688523</v>
      </c>
      <c r="G104">
        <f t="shared" si="9"/>
        <v>1</v>
      </c>
    </row>
    <row r="105" spans="1:7" ht="15.75" x14ac:dyDescent="0.25">
      <c r="A105" s="4">
        <v>93</v>
      </c>
      <c r="B105">
        <v>15.7</v>
      </c>
      <c r="C105">
        <v>107.7</v>
      </c>
      <c r="D105">
        <v>1.0900000000000001</v>
      </c>
      <c r="E105" s="4">
        <f t="shared" si="7"/>
        <v>106.61</v>
      </c>
      <c r="F105" s="4">
        <f t="shared" si="8"/>
        <v>1.0224181596473128</v>
      </c>
      <c r="G105">
        <f t="shared" si="9"/>
        <v>0</v>
      </c>
    </row>
    <row r="106" spans="1:7" ht="15.75" x14ac:dyDescent="0.25">
      <c r="A106" s="4">
        <v>94</v>
      </c>
      <c r="B106">
        <v>15</v>
      </c>
      <c r="C106">
        <v>89.8</v>
      </c>
      <c r="D106">
        <v>0.26</v>
      </c>
      <c r="E106" s="4">
        <f t="shared" si="7"/>
        <v>89.539999999999992</v>
      </c>
      <c r="F106" s="4">
        <f t="shared" si="8"/>
        <v>0.29037301764574497</v>
      </c>
      <c r="G106">
        <f t="shared" si="9"/>
        <v>0</v>
      </c>
    </row>
    <row r="107" spans="1:7" ht="15.75" x14ac:dyDescent="0.25">
      <c r="A107" s="4">
        <v>95</v>
      </c>
      <c r="B107">
        <v>13.3</v>
      </c>
      <c r="C107">
        <v>65.3</v>
      </c>
      <c r="D107">
        <v>0.19</v>
      </c>
      <c r="E107" s="4">
        <f t="shared" si="7"/>
        <v>65.11</v>
      </c>
      <c r="F107" s="4">
        <f t="shared" si="8"/>
        <v>0.29181385347872835</v>
      </c>
      <c r="G107">
        <f t="shared" si="9"/>
        <v>0</v>
      </c>
    </row>
    <row r="108" spans="1:7" ht="15.75" x14ac:dyDescent="0.25">
      <c r="A108" s="4">
        <v>96</v>
      </c>
      <c r="B108">
        <v>17.8</v>
      </c>
      <c r="C108">
        <v>156.6</v>
      </c>
      <c r="D108">
        <v>3.76</v>
      </c>
      <c r="E108" s="4">
        <f t="shared" si="7"/>
        <v>152.84</v>
      </c>
      <c r="F108" s="4">
        <f t="shared" si="8"/>
        <v>2.4600889819419001</v>
      </c>
      <c r="G108">
        <f t="shared" si="9"/>
        <v>1</v>
      </c>
    </row>
    <row r="109" spans="1:7" ht="15.75" x14ac:dyDescent="0.25">
      <c r="A109" s="4">
        <v>97</v>
      </c>
      <c r="B109">
        <v>20.399999999999999</v>
      </c>
      <c r="C109">
        <v>203.2</v>
      </c>
      <c r="D109">
        <v>6.74</v>
      </c>
      <c r="E109" s="4">
        <f t="shared" ref="E109:E112" si="10">IFERROR(C109-D109, "")</f>
        <v>196.45999999999998</v>
      </c>
      <c r="F109" s="4">
        <f t="shared" ref="F109:F112" si="11">IFERROR(D109/E109*100, "")</f>
        <v>3.4307238114628937</v>
      </c>
      <c r="G109">
        <f t="shared" ref="G109:G112" si="12">IF(F109&lt;$J$10, 0, 1)</f>
        <v>1</v>
      </c>
    </row>
    <row r="110" spans="1:7" ht="15.75" x14ac:dyDescent="0.25">
      <c r="A110" s="4">
        <v>98</v>
      </c>
      <c r="B110">
        <v>16</v>
      </c>
      <c r="C110">
        <v>116.7</v>
      </c>
      <c r="D110">
        <v>1.03</v>
      </c>
      <c r="E110" s="4">
        <f t="shared" si="10"/>
        <v>115.67</v>
      </c>
      <c r="F110" s="4">
        <f t="shared" si="11"/>
        <v>0.89046425175067001</v>
      </c>
      <c r="G110">
        <f t="shared" si="12"/>
        <v>0</v>
      </c>
    </row>
    <row r="111" spans="1:7" ht="15.75" x14ac:dyDescent="0.25">
      <c r="A111" s="4">
        <v>99</v>
      </c>
      <c r="B111">
        <v>17.2</v>
      </c>
      <c r="C111">
        <v>149.30000000000001</v>
      </c>
      <c r="D111">
        <v>13.47</v>
      </c>
      <c r="E111" s="4">
        <f t="shared" si="10"/>
        <v>135.83000000000001</v>
      </c>
      <c r="F111" s="4">
        <f t="shared" si="11"/>
        <v>9.916807774423912</v>
      </c>
      <c r="G111">
        <f t="shared" si="12"/>
        <v>1</v>
      </c>
    </row>
    <row r="112" spans="1:7" ht="15.75" x14ac:dyDescent="0.25">
      <c r="A112" s="4">
        <v>100</v>
      </c>
      <c r="B112">
        <v>15.2</v>
      </c>
      <c r="C112">
        <v>110.5</v>
      </c>
      <c r="D112">
        <v>12.35</v>
      </c>
      <c r="E112" s="4">
        <f t="shared" si="10"/>
        <v>98.15</v>
      </c>
      <c r="F112" s="4">
        <f t="shared" si="11"/>
        <v>12.58278145695364</v>
      </c>
      <c r="G112">
        <f t="shared" si="12"/>
        <v>1</v>
      </c>
    </row>
  </sheetData>
  <mergeCells count="1">
    <mergeCell ref="A2:H9"/>
  </mergeCell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94"/>
  <sheetViews>
    <sheetView workbookViewId="0">
      <selection activeCell="K18" sqref="K18"/>
    </sheetView>
  </sheetViews>
  <sheetFormatPr defaultRowHeight="15" x14ac:dyDescent="0.2"/>
  <cols>
    <col min="1" max="1" width="22.5703125" style="2" customWidth="1"/>
    <col min="2" max="2" width="15.42578125" style="2" customWidth="1"/>
    <col min="3" max="4" width="9.140625" style="2"/>
    <col min="5" max="5" width="15" style="2" customWidth="1"/>
    <col min="6" max="6" width="15.7109375" style="2" customWidth="1"/>
    <col min="7" max="7" width="20.7109375" style="2" customWidth="1"/>
    <col min="8" max="8" width="19.7109375" style="2" customWidth="1"/>
    <col min="9" max="9" width="17" style="2" customWidth="1"/>
    <col min="10" max="10" width="14.140625" style="2" customWidth="1"/>
    <col min="11" max="11" width="49.42578125" style="2" bestFit="1" customWidth="1"/>
    <col min="12" max="12" width="9.140625" style="2"/>
    <col min="13" max="13" width="17.5703125" style="2" customWidth="1"/>
    <col min="14" max="16384" width="9.140625" style="2"/>
  </cols>
  <sheetData>
    <row r="1" spans="1:13" ht="20.25" x14ac:dyDescent="0.3">
      <c r="A1" s="10" t="s">
        <v>24</v>
      </c>
    </row>
    <row r="2" spans="1:13" ht="20.25" customHeight="1" x14ac:dyDescent="0.3">
      <c r="A2" s="52" t="s">
        <v>73</v>
      </c>
      <c r="B2" s="53"/>
      <c r="C2" s="53"/>
      <c r="D2" s="53"/>
      <c r="E2" s="53"/>
      <c r="F2" s="53"/>
      <c r="G2" s="53"/>
      <c r="H2" s="54"/>
      <c r="I2" s="22"/>
      <c r="J2" s="22"/>
      <c r="K2" s="22"/>
      <c r="L2" s="22"/>
      <c r="M2" s="22"/>
    </row>
    <row r="3" spans="1:13" ht="20.25" customHeight="1" x14ac:dyDescent="0.3">
      <c r="A3" s="55"/>
      <c r="B3" s="56"/>
      <c r="C3" s="56"/>
      <c r="D3" s="56"/>
      <c r="E3" s="56"/>
      <c r="F3" s="56"/>
      <c r="G3" s="56"/>
      <c r="H3" s="57"/>
      <c r="I3" s="22"/>
      <c r="J3" s="22"/>
      <c r="K3" s="22"/>
      <c r="L3" s="22"/>
      <c r="M3" s="22"/>
    </row>
    <row r="4" spans="1:13" ht="20.25" customHeight="1" x14ac:dyDescent="0.3">
      <c r="A4" s="55"/>
      <c r="B4" s="56"/>
      <c r="C4" s="56"/>
      <c r="D4" s="56"/>
      <c r="E4" s="56"/>
      <c r="F4" s="56"/>
      <c r="G4" s="56"/>
      <c r="H4" s="57"/>
      <c r="I4" s="22"/>
      <c r="J4" s="22"/>
      <c r="K4" s="22"/>
      <c r="L4" s="22"/>
      <c r="M4" s="22"/>
    </row>
    <row r="5" spans="1:13" ht="20.25" customHeight="1" x14ac:dyDescent="0.3">
      <c r="A5" s="55"/>
      <c r="B5" s="56"/>
      <c r="C5" s="56"/>
      <c r="D5" s="56"/>
      <c r="E5" s="56"/>
      <c r="F5" s="56"/>
      <c r="G5" s="56"/>
      <c r="H5" s="57"/>
      <c r="I5" s="22"/>
      <c r="J5" s="22"/>
      <c r="K5" s="22"/>
      <c r="L5" s="22"/>
      <c r="M5" s="22"/>
    </row>
    <row r="6" spans="1:13" ht="20.25" customHeight="1" x14ac:dyDescent="0.3">
      <c r="A6" s="55"/>
      <c r="B6" s="56"/>
      <c r="C6" s="56"/>
      <c r="D6" s="56"/>
      <c r="E6" s="56"/>
      <c r="F6" s="56"/>
      <c r="G6" s="56"/>
      <c r="H6" s="57"/>
      <c r="I6" s="22"/>
      <c r="J6" s="22"/>
      <c r="K6" s="22"/>
      <c r="L6" s="22"/>
      <c r="M6" s="22"/>
    </row>
    <row r="7" spans="1:13" ht="20.25" customHeight="1" x14ac:dyDescent="0.3">
      <c r="A7" s="55"/>
      <c r="B7" s="56"/>
      <c r="C7" s="56"/>
      <c r="D7" s="56"/>
      <c r="E7" s="56"/>
      <c r="F7" s="56"/>
      <c r="G7" s="56"/>
      <c r="H7" s="57"/>
      <c r="I7" s="22"/>
      <c r="J7" s="22"/>
      <c r="K7" s="22"/>
      <c r="L7" s="22"/>
      <c r="M7" s="22"/>
    </row>
    <row r="8" spans="1:13" ht="20.25" customHeight="1" x14ac:dyDescent="0.3">
      <c r="A8" s="55"/>
      <c r="B8" s="56"/>
      <c r="C8" s="56"/>
      <c r="D8" s="56"/>
      <c r="E8" s="56"/>
      <c r="F8" s="56"/>
      <c r="G8" s="56"/>
      <c r="H8" s="57"/>
      <c r="I8" s="22"/>
      <c r="J8" s="22"/>
      <c r="K8" s="22"/>
      <c r="L8" s="22"/>
      <c r="M8" s="22"/>
    </row>
    <row r="9" spans="1:13" ht="20.25" customHeight="1" x14ac:dyDescent="0.3">
      <c r="A9" s="58"/>
      <c r="B9" s="59"/>
      <c r="C9" s="59"/>
      <c r="D9" s="59"/>
      <c r="E9" s="59"/>
      <c r="F9" s="59"/>
      <c r="G9" s="59"/>
      <c r="H9" s="60"/>
      <c r="I9" s="22"/>
      <c r="J9" s="22"/>
      <c r="K9" s="22"/>
      <c r="L9" s="22"/>
      <c r="M9" s="22"/>
    </row>
    <row r="10" spans="1:13" ht="20.25" customHeight="1" x14ac:dyDescent="0.3">
      <c r="A10" s="32"/>
      <c r="B10" s="32"/>
      <c r="C10" s="32"/>
      <c r="D10" s="32"/>
      <c r="E10" s="32"/>
      <c r="F10" s="32"/>
      <c r="G10" s="32"/>
      <c r="H10" s="32"/>
      <c r="I10" s="22"/>
      <c r="J10" s="22"/>
      <c r="K10" s="22"/>
      <c r="L10" s="22"/>
      <c r="M10" s="22"/>
    </row>
    <row r="11" spans="1:13" ht="30.75" customHeight="1" x14ac:dyDescent="0.3">
      <c r="A11" s="32" t="s">
        <v>78</v>
      </c>
      <c r="B11" s="32" t="s">
        <v>79</v>
      </c>
      <c r="C11" s="32"/>
      <c r="D11" s="32"/>
      <c r="E11" s="32"/>
      <c r="F11" s="32"/>
      <c r="G11" s="32"/>
      <c r="H11" s="32"/>
      <c r="I11" s="22"/>
      <c r="J11" s="22"/>
      <c r="K11" s="22"/>
      <c r="L11" s="22"/>
      <c r="M11" s="22"/>
    </row>
    <row r="12" spans="1:13" ht="14.25" customHeight="1" thickBot="1" x14ac:dyDescent="0.35">
      <c r="A12" s="22"/>
      <c r="B12" s="22"/>
      <c r="C12" s="22"/>
      <c r="D12" s="22"/>
      <c r="E12" s="22"/>
      <c r="F12" s="22"/>
      <c r="G12" s="22"/>
      <c r="H12" s="22"/>
      <c r="I12" s="22"/>
      <c r="J12" s="22"/>
      <c r="K12" s="22"/>
      <c r="L12" s="22"/>
      <c r="M12" s="22"/>
    </row>
    <row r="13" spans="1:13" ht="20.25" hidden="1" customHeight="1" thickBot="1" x14ac:dyDescent="0.35">
      <c r="A13" s="22"/>
      <c r="B13" s="22"/>
      <c r="C13" s="22"/>
      <c r="D13" s="22"/>
      <c r="E13" s="22"/>
      <c r="F13" s="22"/>
      <c r="G13" s="22"/>
      <c r="H13" s="22"/>
      <c r="I13" s="22"/>
      <c r="J13" s="22"/>
      <c r="K13" s="22"/>
      <c r="L13" s="22"/>
      <c r="M13" s="22"/>
    </row>
    <row r="14" spans="1:13" ht="52.5" customHeight="1" thickBot="1" x14ac:dyDescent="0.35">
      <c r="A14" s="6" t="s">
        <v>0</v>
      </c>
      <c r="B14" s="6" t="s">
        <v>1</v>
      </c>
      <c r="C14" s="6" t="s">
        <v>18</v>
      </c>
      <c r="D14" s="6" t="s">
        <v>61</v>
      </c>
      <c r="E14" s="20" t="s">
        <v>40</v>
      </c>
      <c r="F14" s="21" t="s">
        <v>41</v>
      </c>
      <c r="G14" s="36" t="s">
        <v>69</v>
      </c>
      <c r="H14" s="36" t="s">
        <v>71</v>
      </c>
      <c r="I14" s="22"/>
      <c r="J14" s="22"/>
      <c r="K14" s="22"/>
      <c r="L14" s="22"/>
      <c r="M14" s="22"/>
    </row>
    <row r="15" spans="1:13" ht="20.25" customHeight="1" x14ac:dyDescent="0.3">
      <c r="A15" s="61" t="s">
        <v>2</v>
      </c>
      <c r="B15" s="49" t="s">
        <v>16</v>
      </c>
      <c r="C15" s="3">
        <v>1</v>
      </c>
      <c r="D15" s="3"/>
      <c r="E15" s="11">
        <v>511</v>
      </c>
      <c r="F15" s="12">
        <v>2.2000000000000002</v>
      </c>
      <c r="G15" s="3">
        <f>IFERROR(E15-F15, "")</f>
        <v>508.8</v>
      </c>
      <c r="H15" s="3">
        <f>IFERROR(F15/G15*100, "")</f>
        <v>0.43238993710691825</v>
      </c>
      <c r="I15" s="22"/>
      <c r="J15" s="22"/>
      <c r="K15" s="22"/>
      <c r="L15" s="22"/>
      <c r="M15" s="22"/>
    </row>
    <row r="16" spans="1:13" ht="20.25" customHeight="1" x14ac:dyDescent="0.3">
      <c r="A16" s="61"/>
      <c r="B16" s="49" t="s">
        <v>16</v>
      </c>
      <c r="C16" s="3">
        <v>2</v>
      </c>
      <c r="D16" s="3"/>
      <c r="E16" s="11">
        <v>445</v>
      </c>
      <c r="F16" s="12">
        <v>2.4</v>
      </c>
      <c r="G16" s="3">
        <f t="shared" ref="G16:G47" si="0">IFERROR(E16-F16, "")</f>
        <v>442.6</v>
      </c>
      <c r="H16" s="3">
        <f t="shared" ref="H16:H47" si="1">IFERROR(F16/G16*100, "")</f>
        <v>0.54225033890646179</v>
      </c>
      <c r="I16" s="22"/>
      <c r="J16" s="22"/>
      <c r="K16" s="22"/>
      <c r="L16" s="22"/>
      <c r="M16" s="22"/>
    </row>
    <row r="17" spans="1:9" ht="15" customHeight="1" x14ac:dyDescent="0.2">
      <c r="A17" s="61"/>
      <c r="B17" s="49" t="s">
        <v>16</v>
      </c>
      <c r="C17" s="3">
        <v>3</v>
      </c>
      <c r="D17" s="3"/>
      <c r="E17" s="11">
        <v>560</v>
      </c>
      <c r="F17" s="12">
        <v>1.8</v>
      </c>
      <c r="G17" s="3">
        <f t="shared" si="0"/>
        <v>558.20000000000005</v>
      </c>
      <c r="H17" s="3">
        <f t="shared" si="1"/>
        <v>0.32246506628448585</v>
      </c>
    </row>
    <row r="18" spans="1:9" ht="17.25" customHeight="1" x14ac:dyDescent="0.2">
      <c r="A18" s="61"/>
      <c r="B18" s="49" t="s">
        <v>16</v>
      </c>
      <c r="C18" s="3">
        <v>4</v>
      </c>
      <c r="D18" s="3"/>
      <c r="E18" s="11">
        <v>450</v>
      </c>
      <c r="F18" s="12">
        <v>2.4</v>
      </c>
      <c r="G18" s="3">
        <f t="shared" si="0"/>
        <v>447.6</v>
      </c>
      <c r="H18" s="3">
        <f t="shared" si="1"/>
        <v>0.53619302949061654</v>
      </c>
    </row>
    <row r="19" spans="1:9" ht="18" customHeight="1" x14ac:dyDescent="0.2">
      <c r="A19" s="61"/>
      <c r="B19" s="49" t="s">
        <v>16</v>
      </c>
      <c r="C19" s="3">
        <v>5</v>
      </c>
      <c r="D19" s="3"/>
      <c r="E19" s="11">
        <v>499</v>
      </c>
      <c r="F19" s="12">
        <v>1.2</v>
      </c>
      <c r="G19" s="3">
        <f t="shared" si="0"/>
        <v>497.8</v>
      </c>
      <c r="H19" s="3">
        <f t="shared" si="1"/>
        <v>0.24106066693451184</v>
      </c>
    </row>
    <row r="20" spans="1:9" x14ac:dyDescent="0.2">
      <c r="A20" s="61"/>
      <c r="B20" s="43" t="s">
        <v>15</v>
      </c>
      <c r="C20" s="4">
        <v>1</v>
      </c>
      <c r="D20" s="4"/>
      <c r="E20" s="13">
        <v>500</v>
      </c>
      <c r="F20" s="14">
        <v>2.2000000000000002</v>
      </c>
      <c r="G20" s="4">
        <f t="shared" si="0"/>
        <v>497.8</v>
      </c>
      <c r="H20" s="4">
        <f t="shared" si="1"/>
        <v>0.44194455604660504</v>
      </c>
    </row>
    <row r="21" spans="1:9" x14ac:dyDescent="0.2">
      <c r="A21" s="61"/>
      <c r="B21" s="43" t="s">
        <v>15</v>
      </c>
      <c r="C21" s="4">
        <v>2</v>
      </c>
      <c r="D21" s="4"/>
      <c r="E21" s="13">
        <v>455</v>
      </c>
      <c r="F21" s="14">
        <v>2.4</v>
      </c>
      <c r="G21" s="4">
        <f t="shared" si="0"/>
        <v>452.6</v>
      </c>
      <c r="H21" s="4">
        <f t="shared" si="1"/>
        <v>0.53026955368979223</v>
      </c>
      <c r="I21" s="19"/>
    </row>
    <row r="22" spans="1:9" x14ac:dyDescent="0.2">
      <c r="A22" s="61"/>
      <c r="B22" s="43" t="s">
        <v>15</v>
      </c>
      <c r="C22" s="4">
        <v>3</v>
      </c>
      <c r="D22" s="4"/>
      <c r="E22" s="13">
        <v>686</v>
      </c>
      <c r="F22" s="14">
        <v>1.8</v>
      </c>
      <c r="G22" s="4">
        <f t="shared" si="0"/>
        <v>684.2</v>
      </c>
      <c r="H22" s="4">
        <f t="shared" si="1"/>
        <v>0.26308097047646883</v>
      </c>
    </row>
    <row r="23" spans="1:9" x14ac:dyDescent="0.2">
      <c r="A23" s="61"/>
      <c r="B23" s="43" t="s">
        <v>15</v>
      </c>
      <c r="C23" s="4">
        <v>4</v>
      </c>
      <c r="D23" s="4"/>
      <c r="E23" s="13">
        <v>450</v>
      </c>
      <c r="F23" s="14">
        <v>2.4</v>
      </c>
      <c r="G23" s="4">
        <f t="shared" si="0"/>
        <v>447.6</v>
      </c>
      <c r="H23" s="4">
        <f t="shared" si="1"/>
        <v>0.53619302949061654</v>
      </c>
    </row>
    <row r="24" spans="1:9" x14ac:dyDescent="0.2">
      <c r="A24" s="61"/>
      <c r="B24" s="43" t="s">
        <v>15</v>
      </c>
      <c r="C24" s="4">
        <v>5</v>
      </c>
      <c r="D24" s="4"/>
      <c r="E24" s="13">
        <v>330</v>
      </c>
      <c r="F24" s="14">
        <v>1.2</v>
      </c>
      <c r="G24" s="4">
        <f t="shared" si="0"/>
        <v>328.8</v>
      </c>
      <c r="H24" s="4">
        <f t="shared" si="1"/>
        <v>0.36496350364963503</v>
      </c>
    </row>
    <row r="25" spans="1:9" x14ac:dyDescent="0.2">
      <c r="A25" s="61"/>
      <c r="B25" s="44" t="s">
        <v>14</v>
      </c>
      <c r="C25" s="5">
        <v>1</v>
      </c>
      <c r="D25" s="5"/>
      <c r="E25" s="15">
        <v>500</v>
      </c>
      <c r="F25" s="16">
        <v>2.1</v>
      </c>
      <c r="G25" s="5">
        <f t="shared" si="0"/>
        <v>497.9</v>
      </c>
      <c r="H25" s="5">
        <f t="shared" si="1"/>
        <v>0.4217714400482025</v>
      </c>
    </row>
    <row r="26" spans="1:9" x14ac:dyDescent="0.2">
      <c r="A26" s="61"/>
      <c r="B26" s="44" t="s">
        <v>14</v>
      </c>
      <c r="C26" s="5">
        <v>2</v>
      </c>
      <c r="D26" s="5"/>
      <c r="E26" s="15">
        <v>455</v>
      </c>
      <c r="F26" s="16">
        <v>1.4</v>
      </c>
      <c r="G26" s="5">
        <f t="shared" si="0"/>
        <v>453.6</v>
      </c>
      <c r="H26" s="5">
        <f t="shared" si="1"/>
        <v>0.30864197530864196</v>
      </c>
    </row>
    <row r="27" spans="1:9" x14ac:dyDescent="0.2">
      <c r="A27" s="61"/>
      <c r="B27" s="44" t="s">
        <v>14</v>
      </c>
      <c r="C27" s="5">
        <v>3</v>
      </c>
      <c r="D27" s="5"/>
      <c r="E27" s="15">
        <v>686</v>
      </c>
      <c r="F27" s="16">
        <v>1.5</v>
      </c>
      <c r="G27" s="5">
        <f t="shared" si="0"/>
        <v>684.5</v>
      </c>
      <c r="H27" s="5">
        <f t="shared" si="1"/>
        <v>0.21913805697589481</v>
      </c>
    </row>
    <row r="28" spans="1:9" x14ac:dyDescent="0.2">
      <c r="A28" s="61"/>
      <c r="B28" s="44" t="s">
        <v>14</v>
      </c>
      <c r="C28" s="5">
        <v>4</v>
      </c>
      <c r="D28" s="5"/>
      <c r="E28" s="15">
        <v>450</v>
      </c>
      <c r="F28" s="16">
        <v>1.3</v>
      </c>
      <c r="G28" s="5">
        <f t="shared" si="0"/>
        <v>448.7</v>
      </c>
      <c r="H28" s="5">
        <f t="shared" si="1"/>
        <v>0.28972587474927569</v>
      </c>
    </row>
    <row r="29" spans="1:9" x14ac:dyDescent="0.2">
      <c r="A29" s="61"/>
      <c r="B29" s="44" t="s">
        <v>14</v>
      </c>
      <c r="C29" s="5">
        <v>5</v>
      </c>
      <c r="D29" s="5"/>
      <c r="E29" s="15">
        <v>330</v>
      </c>
      <c r="F29" s="16">
        <v>0.8</v>
      </c>
      <c r="G29" s="5">
        <f t="shared" si="0"/>
        <v>329.2</v>
      </c>
      <c r="H29" s="5">
        <f t="shared" si="1"/>
        <v>0.24301336573511545</v>
      </c>
    </row>
    <row r="30" spans="1:9" x14ac:dyDescent="0.2">
      <c r="A30" s="64" t="s">
        <v>3</v>
      </c>
      <c r="B30" s="42" t="s">
        <v>16</v>
      </c>
      <c r="C30" s="3">
        <v>1</v>
      </c>
      <c r="D30" s="3"/>
      <c r="E30" s="11">
        <v>499</v>
      </c>
      <c r="F30" s="12">
        <v>23.2</v>
      </c>
      <c r="G30" s="3">
        <f t="shared" si="0"/>
        <v>475.8</v>
      </c>
      <c r="H30" s="3">
        <f t="shared" si="1"/>
        <v>4.875998318621269</v>
      </c>
    </row>
    <row r="31" spans="1:9" x14ac:dyDescent="0.2">
      <c r="A31" s="64"/>
      <c r="B31" s="42" t="s">
        <v>16</v>
      </c>
      <c r="C31" s="3">
        <v>2</v>
      </c>
      <c r="D31" s="3"/>
      <c r="E31" s="11">
        <v>458</v>
      </c>
      <c r="F31" s="12">
        <v>25.2</v>
      </c>
      <c r="G31" s="3">
        <f t="shared" si="0"/>
        <v>432.8</v>
      </c>
      <c r="H31" s="3">
        <f t="shared" si="1"/>
        <v>5.8225508317929755</v>
      </c>
    </row>
    <row r="32" spans="1:9" x14ac:dyDescent="0.2">
      <c r="A32" s="64"/>
      <c r="B32" s="42" t="s">
        <v>16</v>
      </c>
      <c r="C32" s="3">
        <v>3</v>
      </c>
      <c r="D32" s="3"/>
      <c r="E32" s="11">
        <v>600</v>
      </c>
      <c r="F32" s="12">
        <v>36.4</v>
      </c>
      <c r="G32" s="3">
        <f t="shared" si="0"/>
        <v>563.6</v>
      </c>
      <c r="H32" s="3">
        <f t="shared" si="1"/>
        <v>6.4584811923349887</v>
      </c>
    </row>
    <row r="33" spans="1:11" x14ac:dyDescent="0.2">
      <c r="A33" s="64"/>
      <c r="B33" s="42" t="s">
        <v>16</v>
      </c>
      <c r="C33" s="3">
        <v>4</v>
      </c>
      <c r="D33" s="3"/>
      <c r="E33" s="11">
        <v>402</v>
      </c>
      <c r="F33" s="12">
        <v>24.2</v>
      </c>
      <c r="G33" s="3">
        <f t="shared" si="0"/>
        <v>377.8</v>
      </c>
      <c r="H33" s="3">
        <f t="shared" si="1"/>
        <v>6.405505558496559</v>
      </c>
    </row>
    <row r="34" spans="1:11" x14ac:dyDescent="0.2">
      <c r="A34" s="64"/>
      <c r="B34" s="42" t="s">
        <v>16</v>
      </c>
      <c r="C34" s="3">
        <v>5</v>
      </c>
      <c r="D34" s="3"/>
      <c r="E34" s="11">
        <v>350</v>
      </c>
      <c r="F34" s="12">
        <v>26.7</v>
      </c>
      <c r="G34" s="3">
        <f t="shared" si="0"/>
        <v>323.3</v>
      </c>
      <c r="H34" s="3">
        <f t="shared" si="1"/>
        <v>8.2585833591091848</v>
      </c>
    </row>
    <row r="35" spans="1:11" x14ac:dyDescent="0.2">
      <c r="A35" s="64"/>
      <c r="B35" s="43" t="s">
        <v>15</v>
      </c>
      <c r="C35" s="4">
        <v>1</v>
      </c>
      <c r="D35" s="4"/>
      <c r="E35" s="13">
        <v>499</v>
      </c>
      <c r="F35" s="14">
        <v>2.1</v>
      </c>
      <c r="G35" s="4">
        <f t="shared" si="0"/>
        <v>496.9</v>
      </c>
      <c r="H35" s="4">
        <f t="shared" si="1"/>
        <v>0.42262024552223787</v>
      </c>
    </row>
    <row r="36" spans="1:11" x14ac:dyDescent="0.2">
      <c r="A36" s="64"/>
      <c r="B36" s="43" t="s">
        <v>15</v>
      </c>
      <c r="C36" s="4">
        <v>2</v>
      </c>
      <c r="D36" s="4"/>
      <c r="E36" s="13">
        <v>399</v>
      </c>
      <c r="F36" s="14">
        <v>3</v>
      </c>
      <c r="G36" s="4">
        <f t="shared" si="0"/>
        <v>396</v>
      </c>
      <c r="H36" s="4">
        <f t="shared" si="1"/>
        <v>0.75757575757575757</v>
      </c>
    </row>
    <row r="37" spans="1:11" ht="15" customHeight="1" x14ac:dyDescent="0.25">
      <c r="A37" s="64"/>
      <c r="B37" s="43" t="s">
        <v>15</v>
      </c>
      <c r="C37" s="4">
        <v>3</v>
      </c>
      <c r="D37" s="4"/>
      <c r="E37" s="13">
        <v>566</v>
      </c>
      <c r="F37" s="14">
        <v>1.8</v>
      </c>
      <c r="G37" s="4">
        <f t="shared" si="0"/>
        <v>564.20000000000005</v>
      </c>
      <c r="H37" s="4">
        <f t="shared" si="1"/>
        <v>0.31903580290677064</v>
      </c>
      <c r="J37"/>
      <c r="K37"/>
    </row>
    <row r="38" spans="1:11" ht="15" customHeight="1" x14ac:dyDescent="0.25">
      <c r="A38" s="64"/>
      <c r="B38" s="43" t="s">
        <v>15</v>
      </c>
      <c r="C38" s="4">
        <v>4</v>
      </c>
      <c r="D38" s="4"/>
      <c r="E38" s="13">
        <v>433</v>
      </c>
      <c r="F38" s="14">
        <v>2.4</v>
      </c>
      <c r="G38" s="4">
        <f t="shared" si="0"/>
        <v>430.6</v>
      </c>
      <c r="H38" s="4">
        <f t="shared" si="1"/>
        <v>0.55736182071528095</v>
      </c>
      <c r="J38"/>
      <c r="K38"/>
    </row>
    <row r="39" spans="1:11" ht="15" customHeight="1" x14ac:dyDescent="0.25">
      <c r="A39" s="64"/>
      <c r="B39" s="43" t="s">
        <v>15</v>
      </c>
      <c r="C39" s="4">
        <v>5</v>
      </c>
      <c r="D39" s="4"/>
      <c r="E39" s="13"/>
      <c r="F39" s="14"/>
      <c r="G39" s="4"/>
      <c r="H39" s="4"/>
      <c r="J39"/>
      <c r="K39"/>
    </row>
    <row r="40" spans="1:11" ht="15" customHeight="1" x14ac:dyDescent="0.25">
      <c r="A40" s="64"/>
      <c r="B40" s="44" t="s">
        <v>14</v>
      </c>
      <c r="C40" s="5">
        <v>1</v>
      </c>
      <c r="D40" s="5"/>
      <c r="E40" s="15">
        <v>499</v>
      </c>
      <c r="F40" s="16">
        <v>2</v>
      </c>
      <c r="G40" s="5">
        <f t="shared" si="0"/>
        <v>497</v>
      </c>
      <c r="H40" s="5">
        <f t="shared" si="1"/>
        <v>0.4024144869215292</v>
      </c>
      <c r="J40"/>
      <c r="K40"/>
    </row>
    <row r="41" spans="1:11" ht="15" customHeight="1" x14ac:dyDescent="0.25">
      <c r="A41" s="64"/>
      <c r="B41" s="44" t="s">
        <v>14</v>
      </c>
      <c r="C41" s="5">
        <v>2</v>
      </c>
      <c r="D41" s="5"/>
      <c r="E41" s="15">
        <v>458</v>
      </c>
      <c r="F41" s="16">
        <v>3</v>
      </c>
      <c r="G41" s="5">
        <f t="shared" si="0"/>
        <v>455</v>
      </c>
      <c r="H41" s="5">
        <f t="shared" si="1"/>
        <v>0.65934065934065933</v>
      </c>
      <c r="J41"/>
      <c r="K41"/>
    </row>
    <row r="42" spans="1:11" ht="15" customHeight="1" x14ac:dyDescent="0.25">
      <c r="A42" s="64"/>
      <c r="B42" s="44" t="s">
        <v>14</v>
      </c>
      <c r="C42" s="5">
        <v>3</v>
      </c>
      <c r="D42" s="5"/>
      <c r="E42" s="15">
        <v>600</v>
      </c>
      <c r="F42" s="16">
        <v>4.4000000000000004</v>
      </c>
      <c r="G42" s="5">
        <f t="shared" si="0"/>
        <v>595.6</v>
      </c>
      <c r="H42" s="5">
        <f t="shared" si="1"/>
        <v>0.73875083948959031</v>
      </c>
      <c r="J42"/>
      <c r="K42"/>
    </row>
    <row r="43" spans="1:11" ht="15" customHeight="1" x14ac:dyDescent="0.25">
      <c r="A43" s="64"/>
      <c r="B43" s="44" t="s">
        <v>14</v>
      </c>
      <c r="C43" s="5">
        <v>4</v>
      </c>
      <c r="D43" s="5"/>
      <c r="E43" s="15">
        <v>402</v>
      </c>
      <c r="F43" s="16">
        <v>2</v>
      </c>
      <c r="G43" s="5">
        <f t="shared" si="0"/>
        <v>400</v>
      </c>
      <c r="H43" s="5">
        <f t="shared" si="1"/>
        <v>0.5</v>
      </c>
      <c r="J43"/>
      <c r="K43"/>
    </row>
    <row r="44" spans="1:11" ht="15" customHeight="1" x14ac:dyDescent="0.25">
      <c r="A44" s="64"/>
      <c r="B44" s="44" t="s">
        <v>14</v>
      </c>
      <c r="C44" s="5">
        <v>5</v>
      </c>
      <c r="D44" s="5"/>
      <c r="E44" s="15">
        <v>350</v>
      </c>
      <c r="F44" s="16">
        <v>1</v>
      </c>
      <c r="G44" s="5">
        <f t="shared" si="0"/>
        <v>349</v>
      </c>
      <c r="H44" s="5">
        <f t="shared" si="1"/>
        <v>0.28653295128939826</v>
      </c>
      <c r="J44"/>
      <c r="K44"/>
    </row>
    <row r="45" spans="1:11" ht="15" customHeight="1" x14ac:dyDescent="0.25">
      <c r="A45" s="62" t="s">
        <v>4</v>
      </c>
      <c r="B45" s="42" t="s">
        <v>16</v>
      </c>
      <c r="C45" s="3">
        <v>1</v>
      </c>
      <c r="D45" s="3"/>
      <c r="E45" s="11">
        <v>500</v>
      </c>
      <c r="F45" s="12">
        <v>25.1</v>
      </c>
      <c r="G45" s="3">
        <f t="shared" si="0"/>
        <v>474.9</v>
      </c>
      <c r="H45" s="3">
        <f t="shared" si="1"/>
        <v>5.285323225942304</v>
      </c>
      <c r="J45"/>
      <c r="K45"/>
    </row>
    <row r="46" spans="1:11" ht="15" customHeight="1" x14ac:dyDescent="0.25">
      <c r="A46" s="62"/>
      <c r="B46" s="42" t="s">
        <v>16</v>
      </c>
      <c r="C46" s="3">
        <v>2</v>
      </c>
      <c r="D46" s="3"/>
      <c r="E46" s="11">
        <v>455</v>
      </c>
      <c r="F46" s="12">
        <v>23.6</v>
      </c>
      <c r="G46" s="3">
        <f t="shared" si="0"/>
        <v>431.4</v>
      </c>
      <c r="H46" s="3">
        <f t="shared" si="1"/>
        <v>5.4705609643022717</v>
      </c>
      <c r="J46"/>
      <c r="K46"/>
    </row>
    <row r="47" spans="1:11" ht="15" customHeight="1" x14ac:dyDescent="0.25">
      <c r="A47" s="62"/>
      <c r="B47" s="42" t="s">
        <v>16</v>
      </c>
      <c r="C47" s="3">
        <v>3</v>
      </c>
      <c r="D47" s="3"/>
      <c r="E47" s="11">
        <v>686</v>
      </c>
      <c r="F47" s="12">
        <v>30.1</v>
      </c>
      <c r="G47" s="3">
        <f t="shared" si="0"/>
        <v>655.9</v>
      </c>
      <c r="H47" s="3">
        <f t="shared" si="1"/>
        <v>4.5891141942369273</v>
      </c>
      <c r="J47"/>
      <c r="K47"/>
    </row>
    <row r="48" spans="1:11" ht="15" customHeight="1" x14ac:dyDescent="0.25">
      <c r="A48" s="62"/>
      <c r="B48" s="42" t="s">
        <v>16</v>
      </c>
      <c r="C48" s="3">
        <v>4</v>
      </c>
      <c r="D48" s="3"/>
      <c r="E48" s="11">
        <v>400</v>
      </c>
      <c r="F48" s="12">
        <v>20.100000000000001</v>
      </c>
      <c r="G48" s="3">
        <f t="shared" ref="G48:G111" si="2">IFERROR(E48-F48, "")</f>
        <v>379.9</v>
      </c>
      <c r="H48" s="3">
        <f t="shared" ref="H48:H111" si="3">IFERROR(F48/G48*100, "")</f>
        <v>5.290866017372994</v>
      </c>
      <c r="J48"/>
      <c r="K48"/>
    </row>
    <row r="49" spans="1:11" ht="15" customHeight="1" x14ac:dyDescent="0.25">
      <c r="A49" s="62"/>
      <c r="B49" s="42" t="s">
        <v>16</v>
      </c>
      <c r="C49" s="3">
        <v>5</v>
      </c>
      <c r="D49" s="3"/>
      <c r="E49" s="11">
        <v>580</v>
      </c>
      <c r="F49" s="12">
        <v>35.1</v>
      </c>
      <c r="G49" s="3">
        <f t="shared" si="2"/>
        <v>544.9</v>
      </c>
      <c r="H49" s="3">
        <f t="shared" si="3"/>
        <v>6.4415489080565242</v>
      </c>
      <c r="J49"/>
      <c r="K49"/>
    </row>
    <row r="50" spans="1:11" ht="15" customHeight="1" x14ac:dyDescent="0.25">
      <c r="A50" s="62"/>
      <c r="B50" s="43" t="s">
        <v>15</v>
      </c>
      <c r="C50" s="4">
        <v>1</v>
      </c>
      <c r="D50" s="4"/>
      <c r="E50" s="13">
        <v>511</v>
      </c>
      <c r="F50" s="14">
        <v>2.2000000000000002</v>
      </c>
      <c r="G50" s="4">
        <f t="shared" si="2"/>
        <v>508.8</v>
      </c>
      <c r="H50" s="4">
        <f t="shared" si="3"/>
        <v>0.43238993710691825</v>
      </c>
      <c r="J50"/>
      <c r="K50"/>
    </row>
    <row r="51" spans="1:11" x14ac:dyDescent="0.2">
      <c r="A51" s="62"/>
      <c r="B51" s="43" t="s">
        <v>15</v>
      </c>
      <c r="C51" s="4">
        <v>2</v>
      </c>
      <c r="D51" s="4"/>
      <c r="E51" s="13">
        <v>445</v>
      </c>
      <c r="F51" s="14">
        <v>2.4</v>
      </c>
      <c r="G51" s="4">
        <f t="shared" si="2"/>
        <v>442.6</v>
      </c>
      <c r="H51" s="4">
        <f t="shared" si="3"/>
        <v>0.54225033890646179</v>
      </c>
    </row>
    <row r="52" spans="1:11" x14ac:dyDescent="0.2">
      <c r="A52" s="62"/>
      <c r="B52" s="43" t="s">
        <v>15</v>
      </c>
      <c r="C52" s="4">
        <v>3</v>
      </c>
      <c r="D52" s="4"/>
      <c r="E52" s="13">
        <v>560</v>
      </c>
      <c r="F52" s="14">
        <v>1.8</v>
      </c>
      <c r="G52" s="4">
        <f t="shared" si="2"/>
        <v>558.20000000000005</v>
      </c>
      <c r="H52" s="4">
        <f t="shared" si="3"/>
        <v>0.32246506628448585</v>
      </c>
    </row>
    <row r="53" spans="1:11" x14ac:dyDescent="0.2">
      <c r="A53" s="62"/>
      <c r="B53" s="43" t="s">
        <v>15</v>
      </c>
      <c r="C53" s="4">
        <v>4</v>
      </c>
      <c r="D53" s="4"/>
      <c r="E53" s="13">
        <v>450</v>
      </c>
      <c r="F53" s="14">
        <v>2.4</v>
      </c>
      <c r="G53" s="4">
        <f t="shared" si="2"/>
        <v>447.6</v>
      </c>
      <c r="H53" s="4">
        <f t="shared" si="3"/>
        <v>0.53619302949061654</v>
      </c>
    </row>
    <row r="54" spans="1:11" x14ac:dyDescent="0.2">
      <c r="A54" s="62"/>
      <c r="B54" s="43" t="s">
        <v>15</v>
      </c>
      <c r="C54" s="4">
        <v>5</v>
      </c>
      <c r="D54" s="4"/>
      <c r="E54" s="13">
        <v>499</v>
      </c>
      <c r="F54" s="14">
        <v>1.2</v>
      </c>
      <c r="G54" s="4">
        <f t="shared" si="2"/>
        <v>497.8</v>
      </c>
      <c r="H54" s="4">
        <f t="shared" si="3"/>
        <v>0.24106066693451184</v>
      </c>
    </row>
    <row r="55" spans="1:11" x14ac:dyDescent="0.2">
      <c r="A55" s="62"/>
      <c r="B55" s="44" t="s">
        <v>14</v>
      </c>
      <c r="C55" s="5">
        <v>1</v>
      </c>
      <c r="D55" s="5"/>
      <c r="E55" s="15">
        <v>500</v>
      </c>
      <c r="F55" s="16">
        <v>5.0999999999999996</v>
      </c>
      <c r="G55" s="5">
        <f t="shared" si="2"/>
        <v>494.9</v>
      </c>
      <c r="H55" s="5">
        <f t="shared" si="3"/>
        <v>1.0305112143867448</v>
      </c>
    </row>
    <row r="56" spans="1:11" x14ac:dyDescent="0.2">
      <c r="A56" s="62"/>
      <c r="B56" s="44" t="s">
        <v>14</v>
      </c>
      <c r="C56" s="5">
        <v>2</v>
      </c>
      <c r="D56" s="5"/>
      <c r="E56" s="15">
        <v>455</v>
      </c>
      <c r="F56" s="16">
        <v>4.2</v>
      </c>
      <c r="G56" s="5">
        <f t="shared" si="2"/>
        <v>450.8</v>
      </c>
      <c r="H56" s="5">
        <f t="shared" si="3"/>
        <v>0.93167701863354035</v>
      </c>
    </row>
    <row r="57" spans="1:11" x14ac:dyDescent="0.2">
      <c r="A57" s="62"/>
      <c r="B57" s="44" t="s">
        <v>14</v>
      </c>
      <c r="C57" s="5">
        <v>3</v>
      </c>
      <c r="D57" s="5"/>
      <c r="E57" s="15">
        <v>686</v>
      </c>
      <c r="F57" s="16">
        <v>6.1</v>
      </c>
      <c r="G57" s="5">
        <f t="shared" si="2"/>
        <v>679.9</v>
      </c>
      <c r="H57" s="5">
        <f t="shared" si="3"/>
        <v>0.8971907633475511</v>
      </c>
    </row>
    <row r="58" spans="1:11" x14ac:dyDescent="0.2">
      <c r="A58" s="62"/>
      <c r="B58" s="44" t="s">
        <v>14</v>
      </c>
      <c r="C58" s="5">
        <v>4</v>
      </c>
      <c r="D58" s="5"/>
      <c r="E58" s="15">
        <v>450</v>
      </c>
      <c r="F58" s="16">
        <v>4.5</v>
      </c>
      <c r="G58" s="5">
        <f t="shared" si="2"/>
        <v>445.5</v>
      </c>
      <c r="H58" s="5">
        <f t="shared" si="3"/>
        <v>1.0101010101010102</v>
      </c>
    </row>
    <row r="59" spans="1:11" x14ac:dyDescent="0.2">
      <c r="A59" s="62"/>
      <c r="B59" s="44" t="s">
        <v>14</v>
      </c>
      <c r="C59" s="5">
        <v>5</v>
      </c>
      <c r="D59" s="5"/>
      <c r="E59" s="15">
        <v>330</v>
      </c>
      <c r="F59" s="16">
        <v>4.0999999999999996</v>
      </c>
      <c r="G59" s="5">
        <f t="shared" si="2"/>
        <v>325.89999999999998</v>
      </c>
      <c r="H59" s="5">
        <f t="shared" si="3"/>
        <v>1.2580546179809757</v>
      </c>
    </row>
    <row r="60" spans="1:11" x14ac:dyDescent="0.2">
      <c r="A60" s="63" t="s">
        <v>5</v>
      </c>
      <c r="B60" s="42" t="s">
        <v>16</v>
      </c>
      <c r="C60" s="3">
        <v>1</v>
      </c>
      <c r="D60" s="3"/>
      <c r="E60" s="11">
        <v>500</v>
      </c>
      <c r="F60" s="12">
        <v>27.3</v>
      </c>
      <c r="G60" s="3">
        <f t="shared" si="2"/>
        <v>472.7</v>
      </c>
      <c r="H60" s="3">
        <f t="shared" si="3"/>
        <v>5.7753331922995557</v>
      </c>
    </row>
    <row r="61" spans="1:11" x14ac:dyDescent="0.2">
      <c r="A61" s="63"/>
      <c r="B61" s="42" t="s">
        <v>16</v>
      </c>
      <c r="C61" s="3">
        <v>2</v>
      </c>
      <c r="D61" s="3"/>
      <c r="E61" s="11">
        <v>455</v>
      </c>
      <c r="F61" s="12">
        <v>23.5</v>
      </c>
      <c r="G61" s="3">
        <f t="shared" si="2"/>
        <v>431.5</v>
      </c>
      <c r="H61" s="3">
        <f t="shared" si="3"/>
        <v>5.4461181923522597</v>
      </c>
    </row>
    <row r="62" spans="1:11" x14ac:dyDescent="0.2">
      <c r="A62" s="63"/>
      <c r="B62" s="42" t="s">
        <v>16</v>
      </c>
      <c r="C62" s="3">
        <v>3</v>
      </c>
      <c r="D62" s="3"/>
      <c r="E62" s="11">
        <v>686</v>
      </c>
      <c r="F62" s="12">
        <v>33.5</v>
      </c>
      <c r="G62" s="3">
        <f t="shared" si="2"/>
        <v>652.5</v>
      </c>
      <c r="H62" s="3">
        <f t="shared" si="3"/>
        <v>5.1340996168582373</v>
      </c>
    </row>
    <row r="63" spans="1:11" x14ac:dyDescent="0.2">
      <c r="A63" s="63"/>
      <c r="B63" s="42" t="s">
        <v>16</v>
      </c>
      <c r="C63" s="3">
        <v>4</v>
      </c>
      <c r="D63" s="3"/>
      <c r="E63" s="11">
        <v>450</v>
      </c>
      <c r="F63" s="12">
        <v>26.1</v>
      </c>
      <c r="G63" s="3">
        <f t="shared" si="2"/>
        <v>423.9</v>
      </c>
      <c r="H63" s="3">
        <f t="shared" si="3"/>
        <v>6.1571125265392785</v>
      </c>
    </row>
    <row r="64" spans="1:11" x14ac:dyDescent="0.2">
      <c r="A64" s="63"/>
      <c r="B64" s="42" t="s">
        <v>16</v>
      </c>
      <c r="C64" s="3">
        <v>5</v>
      </c>
      <c r="D64" s="3"/>
      <c r="E64" s="11">
        <v>330</v>
      </c>
      <c r="F64" s="12">
        <v>20.2</v>
      </c>
      <c r="G64" s="3">
        <f t="shared" si="2"/>
        <v>309.8</v>
      </c>
      <c r="H64" s="3">
        <f t="shared" si="3"/>
        <v>6.5203357004519038</v>
      </c>
    </row>
    <row r="65" spans="1:8" x14ac:dyDescent="0.2">
      <c r="A65" s="63"/>
      <c r="B65" s="43" t="s">
        <v>15</v>
      </c>
      <c r="C65" s="4">
        <v>1</v>
      </c>
      <c r="D65" s="4"/>
      <c r="E65" s="13">
        <v>511</v>
      </c>
      <c r="F65" s="14">
        <v>2.2000000000000002</v>
      </c>
      <c r="G65" s="4">
        <f t="shared" si="2"/>
        <v>508.8</v>
      </c>
      <c r="H65" s="4">
        <f t="shared" si="3"/>
        <v>0.43238993710691825</v>
      </c>
    </row>
    <row r="66" spans="1:8" x14ac:dyDescent="0.2">
      <c r="A66" s="63"/>
      <c r="B66" s="43" t="s">
        <v>15</v>
      </c>
      <c r="C66" s="4">
        <v>2</v>
      </c>
      <c r="D66" s="4"/>
      <c r="E66" s="13">
        <v>445</v>
      </c>
      <c r="F66" s="14">
        <v>2.4</v>
      </c>
      <c r="G66" s="4">
        <f t="shared" si="2"/>
        <v>442.6</v>
      </c>
      <c r="H66" s="4">
        <f t="shared" si="3"/>
        <v>0.54225033890646179</v>
      </c>
    </row>
    <row r="67" spans="1:8" x14ac:dyDescent="0.2">
      <c r="A67" s="63"/>
      <c r="B67" s="43" t="s">
        <v>15</v>
      </c>
      <c r="C67" s="4">
        <v>3</v>
      </c>
      <c r="D67" s="4"/>
      <c r="E67" s="13">
        <v>560</v>
      </c>
      <c r="F67" s="14">
        <v>1.8</v>
      </c>
      <c r="G67" s="4">
        <f t="shared" si="2"/>
        <v>558.20000000000005</v>
      </c>
      <c r="H67" s="4">
        <f t="shared" si="3"/>
        <v>0.32246506628448585</v>
      </c>
    </row>
    <row r="68" spans="1:8" x14ac:dyDescent="0.2">
      <c r="A68" s="63"/>
      <c r="B68" s="43" t="s">
        <v>15</v>
      </c>
      <c r="C68" s="4">
        <v>4</v>
      </c>
      <c r="D68" s="4"/>
      <c r="E68" s="13">
        <v>450</v>
      </c>
      <c r="F68" s="14">
        <v>2.4</v>
      </c>
      <c r="G68" s="4">
        <f t="shared" si="2"/>
        <v>447.6</v>
      </c>
      <c r="H68" s="4">
        <f t="shared" si="3"/>
        <v>0.53619302949061654</v>
      </c>
    </row>
    <row r="69" spans="1:8" x14ac:dyDescent="0.2">
      <c r="A69" s="63"/>
      <c r="B69" s="43" t="s">
        <v>15</v>
      </c>
      <c r="C69" s="4">
        <v>5</v>
      </c>
      <c r="D69" s="4"/>
      <c r="E69" s="13">
        <v>499</v>
      </c>
      <c r="F69" s="14">
        <v>1.2</v>
      </c>
      <c r="G69" s="4">
        <f t="shared" si="2"/>
        <v>497.8</v>
      </c>
      <c r="H69" s="4">
        <f t="shared" si="3"/>
        <v>0.24106066693451184</v>
      </c>
    </row>
    <row r="70" spans="1:8" x14ac:dyDescent="0.2">
      <c r="A70" s="63"/>
      <c r="B70" s="44" t="s">
        <v>14</v>
      </c>
      <c r="C70" s="5">
        <v>1</v>
      </c>
      <c r="D70" s="5"/>
      <c r="E70" s="15">
        <v>500</v>
      </c>
      <c r="F70" s="16">
        <v>5.0999999999999996</v>
      </c>
      <c r="G70" s="5">
        <f t="shared" si="2"/>
        <v>494.9</v>
      </c>
      <c r="H70" s="5">
        <f t="shared" si="3"/>
        <v>1.0305112143867448</v>
      </c>
    </row>
    <row r="71" spans="1:8" x14ac:dyDescent="0.2">
      <c r="A71" s="63"/>
      <c r="B71" s="44" t="s">
        <v>14</v>
      </c>
      <c r="C71" s="5">
        <v>2</v>
      </c>
      <c r="D71" s="5"/>
      <c r="E71" s="15">
        <v>455</v>
      </c>
      <c r="F71" s="16">
        <v>4.2</v>
      </c>
      <c r="G71" s="5">
        <f t="shared" si="2"/>
        <v>450.8</v>
      </c>
      <c r="H71" s="5">
        <f t="shared" si="3"/>
        <v>0.93167701863354035</v>
      </c>
    </row>
    <row r="72" spans="1:8" x14ac:dyDescent="0.2">
      <c r="A72" s="63"/>
      <c r="B72" s="44" t="s">
        <v>14</v>
      </c>
      <c r="C72" s="5">
        <v>3</v>
      </c>
      <c r="D72" s="5"/>
      <c r="E72" s="15">
        <v>686</v>
      </c>
      <c r="F72" s="16">
        <v>6.1</v>
      </c>
      <c r="G72" s="5">
        <f t="shared" si="2"/>
        <v>679.9</v>
      </c>
      <c r="H72" s="5">
        <f t="shared" si="3"/>
        <v>0.8971907633475511</v>
      </c>
    </row>
    <row r="73" spans="1:8" x14ac:dyDescent="0.2">
      <c r="A73" s="63"/>
      <c r="B73" s="44" t="s">
        <v>14</v>
      </c>
      <c r="C73" s="5">
        <v>4</v>
      </c>
      <c r="D73" s="5"/>
      <c r="E73" s="15">
        <v>450</v>
      </c>
      <c r="F73" s="16">
        <v>4.5</v>
      </c>
      <c r="G73" s="5">
        <f t="shared" si="2"/>
        <v>445.5</v>
      </c>
      <c r="H73" s="5">
        <f t="shared" si="3"/>
        <v>1.0101010101010102</v>
      </c>
    </row>
    <row r="74" spans="1:8" x14ac:dyDescent="0.2">
      <c r="A74" s="63"/>
      <c r="B74" s="44" t="s">
        <v>14</v>
      </c>
      <c r="C74" s="5">
        <v>5</v>
      </c>
      <c r="D74" s="5"/>
      <c r="E74" s="15">
        <v>330</v>
      </c>
      <c r="F74" s="16">
        <v>4.0999999999999996</v>
      </c>
      <c r="G74" s="5">
        <f t="shared" si="2"/>
        <v>325.89999999999998</v>
      </c>
      <c r="H74" s="5">
        <f t="shared" si="3"/>
        <v>1.2580546179809757</v>
      </c>
    </row>
    <row r="75" spans="1:8" x14ac:dyDescent="0.2">
      <c r="A75" s="61" t="s">
        <v>6</v>
      </c>
      <c r="B75" s="42" t="s">
        <v>16</v>
      </c>
      <c r="C75" s="3">
        <v>1</v>
      </c>
      <c r="D75" s="3"/>
      <c r="E75" s="11">
        <v>500</v>
      </c>
      <c r="F75" s="12">
        <v>12.2</v>
      </c>
      <c r="G75" s="3">
        <f t="shared" si="2"/>
        <v>487.8</v>
      </c>
      <c r="H75" s="3">
        <f t="shared" si="3"/>
        <v>2.5010250102501024</v>
      </c>
    </row>
    <row r="76" spans="1:8" x14ac:dyDescent="0.2">
      <c r="A76" s="61"/>
      <c r="B76" s="42" t="s">
        <v>16</v>
      </c>
      <c r="C76" s="3">
        <v>2</v>
      </c>
      <c r="D76" s="3"/>
      <c r="E76" s="11">
        <v>455</v>
      </c>
      <c r="F76" s="12">
        <v>11.4</v>
      </c>
      <c r="G76" s="3">
        <f t="shared" si="2"/>
        <v>443.6</v>
      </c>
      <c r="H76" s="3">
        <f t="shared" si="3"/>
        <v>2.5698827772768258</v>
      </c>
    </row>
    <row r="77" spans="1:8" x14ac:dyDescent="0.2">
      <c r="A77" s="61"/>
      <c r="B77" s="42" t="s">
        <v>16</v>
      </c>
      <c r="C77" s="3">
        <v>3</v>
      </c>
      <c r="D77" s="3"/>
      <c r="E77" s="11">
        <v>686</v>
      </c>
      <c r="F77" s="12">
        <v>13.4</v>
      </c>
      <c r="G77" s="3">
        <f t="shared" si="2"/>
        <v>672.6</v>
      </c>
      <c r="H77" s="3">
        <f t="shared" si="3"/>
        <v>1.9922688076122508</v>
      </c>
    </row>
    <row r="78" spans="1:8" x14ac:dyDescent="0.2">
      <c r="A78" s="61"/>
      <c r="B78" s="42" t="s">
        <v>16</v>
      </c>
      <c r="C78" s="3">
        <v>4</v>
      </c>
      <c r="D78" s="3"/>
      <c r="E78" s="11">
        <v>450</v>
      </c>
      <c r="F78" s="12">
        <v>9.9</v>
      </c>
      <c r="G78" s="3">
        <f t="shared" si="2"/>
        <v>440.1</v>
      </c>
      <c r="H78" s="3">
        <f t="shared" si="3"/>
        <v>2.2494887525562373</v>
      </c>
    </row>
    <row r="79" spans="1:8" x14ac:dyDescent="0.2">
      <c r="A79" s="61"/>
      <c r="B79" s="42" t="s">
        <v>16</v>
      </c>
      <c r="C79" s="3">
        <v>5</v>
      </c>
      <c r="D79" s="3"/>
      <c r="E79" s="11">
        <v>330</v>
      </c>
      <c r="F79" s="12">
        <v>5.3</v>
      </c>
      <c r="G79" s="3">
        <f t="shared" si="2"/>
        <v>324.7</v>
      </c>
      <c r="H79" s="3">
        <f t="shared" si="3"/>
        <v>1.6322759470280259</v>
      </c>
    </row>
    <row r="80" spans="1:8" x14ac:dyDescent="0.2">
      <c r="A80" s="61"/>
      <c r="B80" s="43" t="s">
        <v>15</v>
      </c>
      <c r="C80" s="4">
        <v>1</v>
      </c>
      <c r="D80" s="4"/>
      <c r="E80" s="13">
        <v>511</v>
      </c>
      <c r="F80" s="14">
        <v>2.2000000000000002</v>
      </c>
      <c r="G80" s="4">
        <f t="shared" si="2"/>
        <v>508.8</v>
      </c>
      <c r="H80" s="4">
        <f t="shared" si="3"/>
        <v>0.43238993710691825</v>
      </c>
    </row>
    <row r="81" spans="1:8" x14ac:dyDescent="0.2">
      <c r="A81" s="61"/>
      <c r="B81" s="43" t="s">
        <v>15</v>
      </c>
      <c r="C81" s="4">
        <v>2</v>
      </c>
      <c r="D81" s="4"/>
      <c r="E81" s="13">
        <v>445</v>
      </c>
      <c r="F81" s="14">
        <v>2.4</v>
      </c>
      <c r="G81" s="4">
        <f t="shared" si="2"/>
        <v>442.6</v>
      </c>
      <c r="H81" s="4">
        <f t="shared" si="3"/>
        <v>0.54225033890646179</v>
      </c>
    </row>
    <row r="82" spans="1:8" x14ac:dyDescent="0.2">
      <c r="A82" s="61"/>
      <c r="B82" s="43" t="s">
        <v>15</v>
      </c>
      <c r="C82" s="4">
        <v>3</v>
      </c>
      <c r="D82" s="4"/>
      <c r="E82" s="13">
        <v>560</v>
      </c>
      <c r="F82" s="14">
        <v>1.8</v>
      </c>
      <c r="G82" s="4">
        <f t="shared" si="2"/>
        <v>558.20000000000005</v>
      </c>
      <c r="H82" s="4">
        <f t="shared" si="3"/>
        <v>0.32246506628448585</v>
      </c>
    </row>
    <row r="83" spans="1:8" x14ac:dyDescent="0.2">
      <c r="A83" s="61"/>
      <c r="B83" s="43" t="s">
        <v>15</v>
      </c>
      <c r="C83" s="4">
        <v>4</v>
      </c>
      <c r="D83" s="4"/>
      <c r="E83" s="13">
        <v>450</v>
      </c>
      <c r="F83" s="14">
        <v>2.4</v>
      </c>
      <c r="G83" s="4">
        <f t="shared" si="2"/>
        <v>447.6</v>
      </c>
      <c r="H83" s="4">
        <f t="shared" si="3"/>
        <v>0.53619302949061654</v>
      </c>
    </row>
    <row r="84" spans="1:8" x14ac:dyDescent="0.2">
      <c r="A84" s="61"/>
      <c r="B84" s="43" t="s">
        <v>15</v>
      </c>
      <c r="C84" s="4">
        <v>5</v>
      </c>
      <c r="D84" s="4"/>
      <c r="E84" s="13">
        <v>499</v>
      </c>
      <c r="F84" s="14">
        <v>1.2</v>
      </c>
      <c r="G84" s="4">
        <f t="shared" si="2"/>
        <v>497.8</v>
      </c>
      <c r="H84" s="4">
        <f t="shared" si="3"/>
        <v>0.24106066693451184</v>
      </c>
    </row>
    <row r="85" spans="1:8" x14ac:dyDescent="0.2">
      <c r="A85" s="61"/>
      <c r="B85" s="44" t="s">
        <v>14</v>
      </c>
      <c r="C85" s="5">
        <v>1</v>
      </c>
      <c r="D85" s="5"/>
      <c r="E85" s="15">
        <v>500</v>
      </c>
      <c r="F85" s="16">
        <v>2.1</v>
      </c>
      <c r="G85" s="5">
        <f t="shared" si="2"/>
        <v>497.9</v>
      </c>
      <c r="H85" s="5">
        <f t="shared" si="3"/>
        <v>0.4217714400482025</v>
      </c>
    </row>
    <row r="86" spans="1:8" x14ac:dyDescent="0.2">
      <c r="A86" s="61"/>
      <c r="B86" s="44" t="s">
        <v>14</v>
      </c>
      <c r="C86" s="5">
        <v>2</v>
      </c>
      <c r="D86" s="5"/>
      <c r="E86" s="15">
        <v>455</v>
      </c>
      <c r="F86" s="16">
        <v>1.4</v>
      </c>
      <c r="G86" s="5">
        <f t="shared" si="2"/>
        <v>453.6</v>
      </c>
      <c r="H86" s="5">
        <f t="shared" si="3"/>
        <v>0.30864197530864196</v>
      </c>
    </row>
    <row r="87" spans="1:8" x14ac:dyDescent="0.2">
      <c r="A87" s="61"/>
      <c r="B87" s="44" t="s">
        <v>14</v>
      </c>
      <c r="C87" s="5">
        <v>3</v>
      </c>
      <c r="D87" s="5"/>
      <c r="E87" s="15">
        <v>686</v>
      </c>
      <c r="F87" s="16">
        <v>1.5</v>
      </c>
      <c r="G87" s="5">
        <f t="shared" si="2"/>
        <v>684.5</v>
      </c>
      <c r="H87" s="5">
        <f t="shared" si="3"/>
        <v>0.21913805697589481</v>
      </c>
    </row>
    <row r="88" spans="1:8" x14ac:dyDescent="0.2">
      <c r="A88" s="61"/>
      <c r="B88" s="44" t="s">
        <v>14</v>
      </c>
      <c r="C88" s="5">
        <v>4</v>
      </c>
      <c r="D88" s="5"/>
      <c r="E88" s="15">
        <v>450</v>
      </c>
      <c r="F88" s="16">
        <v>1.3</v>
      </c>
      <c r="G88" s="5">
        <f t="shared" si="2"/>
        <v>448.7</v>
      </c>
      <c r="H88" s="5">
        <f t="shared" si="3"/>
        <v>0.28972587474927569</v>
      </c>
    </row>
    <row r="89" spans="1:8" x14ac:dyDescent="0.2">
      <c r="A89" s="61"/>
      <c r="B89" s="44" t="s">
        <v>14</v>
      </c>
      <c r="C89" s="5">
        <v>5</v>
      </c>
      <c r="D89" s="5"/>
      <c r="E89" s="15">
        <v>330</v>
      </c>
      <c r="F89" s="16">
        <v>0.8</v>
      </c>
      <c r="G89" s="5">
        <f t="shared" si="2"/>
        <v>329.2</v>
      </c>
      <c r="H89" s="5">
        <f t="shared" si="3"/>
        <v>0.24301336573511545</v>
      </c>
    </row>
    <row r="90" spans="1:8" x14ac:dyDescent="0.2">
      <c r="A90" s="64" t="s">
        <v>8</v>
      </c>
      <c r="B90" s="42" t="s">
        <v>16</v>
      </c>
      <c r="C90" s="3">
        <v>1</v>
      </c>
      <c r="D90" s="3"/>
      <c r="E90" s="11">
        <v>500</v>
      </c>
      <c r="F90" s="12">
        <v>2.2000000000000002</v>
      </c>
      <c r="G90" s="3">
        <f t="shared" si="2"/>
        <v>497.8</v>
      </c>
      <c r="H90" s="3">
        <f t="shared" si="3"/>
        <v>0.44194455604660504</v>
      </c>
    </row>
    <row r="91" spans="1:8" x14ac:dyDescent="0.2">
      <c r="A91" s="64"/>
      <c r="B91" s="42" t="s">
        <v>16</v>
      </c>
      <c r="C91" s="3">
        <v>2</v>
      </c>
      <c r="D91" s="3"/>
      <c r="E91" s="11">
        <v>455</v>
      </c>
      <c r="F91" s="12">
        <v>2.4</v>
      </c>
      <c r="G91" s="3">
        <f t="shared" si="2"/>
        <v>452.6</v>
      </c>
      <c r="H91" s="3">
        <f t="shared" si="3"/>
        <v>0.53026955368979223</v>
      </c>
    </row>
    <row r="92" spans="1:8" x14ac:dyDescent="0.2">
      <c r="A92" s="64"/>
      <c r="B92" s="42" t="s">
        <v>16</v>
      </c>
      <c r="C92" s="3">
        <v>3</v>
      </c>
      <c r="D92" s="3"/>
      <c r="E92" s="11">
        <v>686</v>
      </c>
      <c r="F92" s="12">
        <v>1.8</v>
      </c>
      <c r="G92" s="3">
        <f t="shared" si="2"/>
        <v>684.2</v>
      </c>
      <c r="H92" s="3">
        <f t="shared" si="3"/>
        <v>0.26308097047646883</v>
      </c>
    </row>
    <row r="93" spans="1:8" x14ac:dyDescent="0.2">
      <c r="A93" s="64"/>
      <c r="B93" s="42" t="s">
        <v>16</v>
      </c>
      <c r="C93" s="3">
        <v>4</v>
      </c>
      <c r="D93" s="3"/>
      <c r="E93" s="11">
        <v>450</v>
      </c>
      <c r="F93" s="12">
        <v>2.4</v>
      </c>
      <c r="G93" s="3">
        <f t="shared" si="2"/>
        <v>447.6</v>
      </c>
      <c r="H93" s="3">
        <f t="shared" si="3"/>
        <v>0.53619302949061654</v>
      </c>
    </row>
    <row r="94" spans="1:8" x14ac:dyDescent="0.2">
      <c r="A94" s="64"/>
      <c r="B94" s="42" t="s">
        <v>16</v>
      </c>
      <c r="C94" s="3">
        <v>5</v>
      </c>
      <c r="D94" s="3"/>
      <c r="E94" s="11">
        <v>330</v>
      </c>
      <c r="F94" s="12">
        <v>1.2</v>
      </c>
      <c r="G94" s="3">
        <f t="shared" si="2"/>
        <v>328.8</v>
      </c>
      <c r="H94" s="3">
        <f t="shared" si="3"/>
        <v>0.36496350364963503</v>
      </c>
    </row>
    <row r="95" spans="1:8" x14ac:dyDescent="0.2">
      <c r="A95" s="64"/>
      <c r="B95" s="43" t="s">
        <v>15</v>
      </c>
      <c r="C95" s="4">
        <v>1</v>
      </c>
      <c r="D95" s="4"/>
      <c r="E95" s="13">
        <v>511</v>
      </c>
      <c r="F95" s="14">
        <v>2.2000000000000002</v>
      </c>
      <c r="G95" s="4">
        <f t="shared" si="2"/>
        <v>508.8</v>
      </c>
      <c r="H95" s="4">
        <f t="shared" si="3"/>
        <v>0.43238993710691825</v>
      </c>
    </row>
    <row r="96" spans="1:8" x14ac:dyDescent="0.2">
      <c r="A96" s="64"/>
      <c r="B96" s="43" t="s">
        <v>15</v>
      </c>
      <c r="C96" s="4">
        <v>2</v>
      </c>
      <c r="D96" s="4"/>
      <c r="E96" s="13">
        <v>445</v>
      </c>
      <c r="F96" s="14">
        <v>2.4</v>
      </c>
      <c r="G96" s="4">
        <f t="shared" si="2"/>
        <v>442.6</v>
      </c>
      <c r="H96" s="4">
        <f t="shared" si="3"/>
        <v>0.54225033890646179</v>
      </c>
    </row>
    <row r="97" spans="1:8" x14ac:dyDescent="0.2">
      <c r="A97" s="64"/>
      <c r="B97" s="43" t="s">
        <v>15</v>
      </c>
      <c r="C97" s="4">
        <v>3</v>
      </c>
      <c r="D97" s="4"/>
      <c r="E97" s="13">
        <v>560</v>
      </c>
      <c r="F97" s="14">
        <v>1.8</v>
      </c>
      <c r="G97" s="4">
        <f t="shared" si="2"/>
        <v>558.20000000000005</v>
      </c>
      <c r="H97" s="4">
        <f t="shared" si="3"/>
        <v>0.32246506628448585</v>
      </c>
    </row>
    <row r="98" spans="1:8" x14ac:dyDescent="0.2">
      <c r="A98" s="64"/>
      <c r="B98" s="43" t="s">
        <v>15</v>
      </c>
      <c r="C98" s="4">
        <v>4</v>
      </c>
      <c r="D98" s="4"/>
      <c r="E98" s="13">
        <v>450</v>
      </c>
      <c r="F98" s="14">
        <v>2.4</v>
      </c>
      <c r="G98" s="4">
        <f t="shared" si="2"/>
        <v>447.6</v>
      </c>
      <c r="H98" s="4">
        <f t="shared" si="3"/>
        <v>0.53619302949061654</v>
      </c>
    </row>
    <row r="99" spans="1:8" x14ac:dyDescent="0.2">
      <c r="A99" s="64"/>
      <c r="B99" s="43" t="s">
        <v>15</v>
      </c>
      <c r="C99" s="4">
        <v>5</v>
      </c>
      <c r="D99" s="4"/>
      <c r="E99" s="13">
        <v>499</v>
      </c>
      <c r="F99" s="14">
        <v>1.2</v>
      </c>
      <c r="G99" s="4">
        <f t="shared" si="2"/>
        <v>497.8</v>
      </c>
      <c r="H99" s="4">
        <f t="shared" si="3"/>
        <v>0.24106066693451184</v>
      </c>
    </row>
    <row r="100" spans="1:8" x14ac:dyDescent="0.2">
      <c r="A100" s="64"/>
      <c r="B100" s="44" t="s">
        <v>14</v>
      </c>
      <c r="C100" s="5">
        <v>1</v>
      </c>
      <c r="D100" s="5"/>
      <c r="E100" s="15">
        <v>500</v>
      </c>
      <c r="F100" s="16">
        <v>2.1</v>
      </c>
      <c r="G100" s="5">
        <f t="shared" si="2"/>
        <v>497.9</v>
      </c>
      <c r="H100" s="5">
        <f t="shared" si="3"/>
        <v>0.4217714400482025</v>
      </c>
    </row>
    <row r="101" spans="1:8" x14ac:dyDescent="0.2">
      <c r="A101" s="64"/>
      <c r="B101" s="44" t="s">
        <v>14</v>
      </c>
      <c r="C101" s="5">
        <v>2</v>
      </c>
      <c r="D101" s="5"/>
      <c r="E101" s="15">
        <v>455</v>
      </c>
      <c r="F101" s="16">
        <v>1.4</v>
      </c>
      <c r="G101" s="5">
        <f t="shared" si="2"/>
        <v>453.6</v>
      </c>
      <c r="H101" s="5">
        <f t="shared" si="3"/>
        <v>0.30864197530864196</v>
      </c>
    </row>
    <row r="102" spans="1:8" x14ac:dyDescent="0.2">
      <c r="A102" s="64"/>
      <c r="B102" s="44" t="s">
        <v>14</v>
      </c>
      <c r="C102" s="5">
        <v>3</v>
      </c>
      <c r="D102" s="5"/>
      <c r="E102" s="15">
        <v>686</v>
      </c>
      <c r="F102" s="16">
        <v>1.5</v>
      </c>
      <c r="G102" s="5">
        <f t="shared" si="2"/>
        <v>684.5</v>
      </c>
      <c r="H102" s="5">
        <f t="shared" si="3"/>
        <v>0.21913805697589481</v>
      </c>
    </row>
    <row r="103" spans="1:8" x14ac:dyDescent="0.2">
      <c r="A103" s="64"/>
      <c r="B103" s="44" t="s">
        <v>14</v>
      </c>
      <c r="C103" s="5">
        <v>4</v>
      </c>
      <c r="D103" s="5"/>
      <c r="E103" s="15">
        <v>450</v>
      </c>
      <c r="F103" s="16">
        <v>1.3</v>
      </c>
      <c r="G103" s="5">
        <f t="shared" si="2"/>
        <v>448.7</v>
      </c>
      <c r="H103" s="5">
        <f t="shared" si="3"/>
        <v>0.28972587474927569</v>
      </c>
    </row>
    <row r="104" spans="1:8" x14ac:dyDescent="0.2">
      <c r="A104" s="64"/>
      <c r="B104" s="44" t="s">
        <v>14</v>
      </c>
      <c r="C104" s="5">
        <v>5</v>
      </c>
      <c r="D104" s="5"/>
      <c r="E104" s="15">
        <v>330</v>
      </c>
      <c r="F104" s="16">
        <v>0.8</v>
      </c>
      <c r="G104" s="5">
        <f t="shared" si="2"/>
        <v>329.2</v>
      </c>
      <c r="H104" s="5">
        <f t="shared" si="3"/>
        <v>0.24301336573511545</v>
      </c>
    </row>
    <row r="105" spans="1:8" x14ac:dyDescent="0.2">
      <c r="A105" s="62" t="s">
        <v>7</v>
      </c>
      <c r="B105" s="42" t="s">
        <v>16</v>
      </c>
      <c r="C105" s="3">
        <v>1</v>
      </c>
      <c r="D105" s="3"/>
      <c r="E105" s="11">
        <v>500</v>
      </c>
      <c r="F105" s="12">
        <v>2.2000000000000002</v>
      </c>
      <c r="G105" s="3">
        <f t="shared" si="2"/>
        <v>497.8</v>
      </c>
      <c r="H105" s="3">
        <f t="shared" si="3"/>
        <v>0.44194455604660504</v>
      </c>
    </row>
    <row r="106" spans="1:8" x14ac:dyDescent="0.2">
      <c r="A106" s="62"/>
      <c r="B106" s="42" t="s">
        <v>16</v>
      </c>
      <c r="C106" s="3">
        <v>2</v>
      </c>
      <c r="D106" s="3"/>
      <c r="E106" s="11">
        <v>455</v>
      </c>
      <c r="F106" s="12">
        <v>2.4</v>
      </c>
      <c r="G106" s="3">
        <f t="shared" si="2"/>
        <v>452.6</v>
      </c>
      <c r="H106" s="3">
        <f t="shared" si="3"/>
        <v>0.53026955368979223</v>
      </c>
    </row>
    <row r="107" spans="1:8" x14ac:dyDescent="0.2">
      <c r="A107" s="62"/>
      <c r="B107" s="42" t="s">
        <v>16</v>
      </c>
      <c r="C107" s="3">
        <v>3</v>
      </c>
      <c r="D107" s="3"/>
      <c r="E107" s="11">
        <v>686</v>
      </c>
      <c r="F107" s="12">
        <v>1.8</v>
      </c>
      <c r="G107" s="3">
        <f t="shared" si="2"/>
        <v>684.2</v>
      </c>
      <c r="H107" s="3">
        <f t="shared" si="3"/>
        <v>0.26308097047646883</v>
      </c>
    </row>
    <row r="108" spans="1:8" x14ac:dyDescent="0.2">
      <c r="A108" s="62"/>
      <c r="B108" s="42" t="s">
        <v>16</v>
      </c>
      <c r="C108" s="3">
        <v>4</v>
      </c>
      <c r="D108" s="3"/>
      <c r="E108" s="11">
        <v>450</v>
      </c>
      <c r="F108" s="12">
        <v>2.4</v>
      </c>
      <c r="G108" s="3">
        <f t="shared" si="2"/>
        <v>447.6</v>
      </c>
      <c r="H108" s="3">
        <f t="shared" si="3"/>
        <v>0.53619302949061654</v>
      </c>
    </row>
    <row r="109" spans="1:8" x14ac:dyDescent="0.2">
      <c r="A109" s="62"/>
      <c r="B109" s="42" t="s">
        <v>16</v>
      </c>
      <c r="C109" s="3">
        <v>5</v>
      </c>
      <c r="D109" s="3"/>
      <c r="E109" s="11">
        <v>330</v>
      </c>
      <c r="F109" s="12">
        <v>1.2</v>
      </c>
      <c r="G109" s="3">
        <f t="shared" si="2"/>
        <v>328.8</v>
      </c>
      <c r="H109" s="3">
        <f t="shared" si="3"/>
        <v>0.36496350364963503</v>
      </c>
    </row>
    <row r="110" spans="1:8" x14ac:dyDescent="0.2">
      <c r="A110" s="62"/>
      <c r="B110" s="43" t="s">
        <v>15</v>
      </c>
      <c r="C110" s="4">
        <v>1</v>
      </c>
      <c r="D110" s="4"/>
      <c r="E110" s="13">
        <v>511</v>
      </c>
      <c r="F110" s="14">
        <v>1.2</v>
      </c>
      <c r="G110" s="4">
        <f t="shared" si="2"/>
        <v>509.8</v>
      </c>
      <c r="H110" s="4">
        <f t="shared" si="3"/>
        <v>0.23538642604943114</v>
      </c>
    </row>
    <row r="111" spans="1:8" x14ac:dyDescent="0.2">
      <c r="A111" s="62"/>
      <c r="B111" s="43" t="s">
        <v>15</v>
      </c>
      <c r="C111" s="4">
        <v>2</v>
      </c>
      <c r="D111" s="4"/>
      <c r="E111" s="13">
        <v>445</v>
      </c>
      <c r="F111" s="14">
        <v>2.4</v>
      </c>
      <c r="G111" s="4">
        <f t="shared" si="2"/>
        <v>442.6</v>
      </c>
      <c r="H111" s="4">
        <f t="shared" si="3"/>
        <v>0.54225033890646179</v>
      </c>
    </row>
    <row r="112" spans="1:8" x14ac:dyDescent="0.2">
      <c r="A112" s="62"/>
      <c r="B112" s="43" t="s">
        <v>15</v>
      </c>
      <c r="C112" s="4">
        <v>3</v>
      </c>
      <c r="D112" s="4"/>
      <c r="E112" s="13">
        <v>560</v>
      </c>
      <c r="F112" s="14">
        <v>1.8</v>
      </c>
      <c r="G112" s="4">
        <f t="shared" ref="G112:G175" si="4">IFERROR(E112-F112, "")</f>
        <v>558.20000000000005</v>
      </c>
      <c r="H112" s="4">
        <f t="shared" ref="H112:H175" si="5">IFERROR(F112/G112*100, "")</f>
        <v>0.32246506628448585</v>
      </c>
    </row>
    <row r="113" spans="1:8" x14ac:dyDescent="0.2">
      <c r="A113" s="62"/>
      <c r="B113" s="43" t="s">
        <v>15</v>
      </c>
      <c r="C113" s="4">
        <v>4</v>
      </c>
      <c r="D113" s="4"/>
      <c r="E113" s="13">
        <v>450</v>
      </c>
      <c r="F113" s="14">
        <v>2.4</v>
      </c>
      <c r="G113" s="4">
        <f t="shared" si="4"/>
        <v>447.6</v>
      </c>
      <c r="H113" s="4">
        <f t="shared" si="5"/>
        <v>0.53619302949061654</v>
      </c>
    </row>
    <row r="114" spans="1:8" x14ac:dyDescent="0.2">
      <c r="A114" s="62"/>
      <c r="B114" s="43" t="s">
        <v>15</v>
      </c>
      <c r="C114" s="4">
        <v>5</v>
      </c>
      <c r="D114" s="4"/>
      <c r="E114" s="13">
        <v>499</v>
      </c>
      <c r="F114" s="14">
        <v>1.2</v>
      </c>
      <c r="G114" s="4">
        <f t="shared" si="4"/>
        <v>497.8</v>
      </c>
      <c r="H114" s="4">
        <f t="shared" si="5"/>
        <v>0.24106066693451184</v>
      </c>
    </row>
    <row r="115" spans="1:8" x14ac:dyDescent="0.2">
      <c r="A115" s="62"/>
      <c r="B115" s="44" t="s">
        <v>14</v>
      </c>
      <c r="C115" s="5">
        <v>1</v>
      </c>
      <c r="D115" s="5"/>
      <c r="E115" s="15">
        <v>500</v>
      </c>
      <c r="F115" s="16">
        <v>2.1</v>
      </c>
      <c r="G115" s="5">
        <f t="shared" si="4"/>
        <v>497.9</v>
      </c>
      <c r="H115" s="5">
        <f t="shared" si="5"/>
        <v>0.4217714400482025</v>
      </c>
    </row>
    <row r="116" spans="1:8" x14ac:dyDescent="0.2">
      <c r="A116" s="62"/>
      <c r="B116" s="44" t="s">
        <v>14</v>
      </c>
      <c r="C116" s="5">
        <v>2</v>
      </c>
      <c r="D116" s="5"/>
      <c r="E116" s="15">
        <v>455</v>
      </c>
      <c r="F116" s="16">
        <v>1.4</v>
      </c>
      <c r="G116" s="5">
        <f t="shared" si="4"/>
        <v>453.6</v>
      </c>
      <c r="H116" s="5">
        <f t="shared" si="5"/>
        <v>0.30864197530864196</v>
      </c>
    </row>
    <row r="117" spans="1:8" x14ac:dyDescent="0.2">
      <c r="A117" s="62"/>
      <c r="B117" s="44" t="s">
        <v>14</v>
      </c>
      <c r="C117" s="5">
        <v>3</v>
      </c>
      <c r="D117" s="5"/>
      <c r="E117" s="15">
        <v>686</v>
      </c>
      <c r="F117" s="16">
        <v>1.5</v>
      </c>
      <c r="G117" s="5">
        <f t="shared" si="4"/>
        <v>684.5</v>
      </c>
      <c r="H117" s="5">
        <f t="shared" si="5"/>
        <v>0.21913805697589481</v>
      </c>
    </row>
    <row r="118" spans="1:8" x14ac:dyDescent="0.2">
      <c r="A118" s="62"/>
      <c r="B118" s="44" t="s">
        <v>14</v>
      </c>
      <c r="C118" s="5">
        <v>4</v>
      </c>
      <c r="D118" s="5"/>
      <c r="E118" s="15">
        <v>450</v>
      </c>
      <c r="F118" s="16">
        <v>1.3</v>
      </c>
      <c r="G118" s="5">
        <f t="shared" si="4"/>
        <v>448.7</v>
      </c>
      <c r="H118" s="5">
        <f t="shared" si="5"/>
        <v>0.28972587474927569</v>
      </c>
    </row>
    <row r="119" spans="1:8" x14ac:dyDescent="0.2">
      <c r="A119" s="62"/>
      <c r="B119" s="44" t="s">
        <v>14</v>
      </c>
      <c r="C119" s="5">
        <v>5</v>
      </c>
      <c r="D119" s="5"/>
      <c r="E119" s="15">
        <v>330</v>
      </c>
      <c r="F119" s="16">
        <v>0.8</v>
      </c>
      <c r="G119" s="5">
        <f t="shared" si="4"/>
        <v>329.2</v>
      </c>
      <c r="H119" s="5">
        <f t="shared" si="5"/>
        <v>0.24301336573511545</v>
      </c>
    </row>
    <row r="120" spans="1:8" x14ac:dyDescent="0.2">
      <c r="A120" s="63" t="s">
        <v>9</v>
      </c>
      <c r="B120" s="42" t="s">
        <v>16</v>
      </c>
      <c r="C120" s="3">
        <v>1</v>
      </c>
      <c r="D120" s="3"/>
      <c r="E120" s="11">
        <v>500</v>
      </c>
      <c r="F120" s="12">
        <v>2.2000000000000002</v>
      </c>
      <c r="G120" s="3">
        <f t="shared" si="4"/>
        <v>497.8</v>
      </c>
      <c r="H120" s="3">
        <f t="shared" si="5"/>
        <v>0.44194455604660504</v>
      </c>
    </row>
    <row r="121" spans="1:8" x14ac:dyDescent="0.2">
      <c r="A121" s="63"/>
      <c r="B121" s="42" t="s">
        <v>16</v>
      </c>
      <c r="C121" s="3">
        <v>2</v>
      </c>
      <c r="D121" s="3"/>
      <c r="E121" s="11">
        <v>455</v>
      </c>
      <c r="F121" s="12">
        <v>2.4</v>
      </c>
      <c r="G121" s="3">
        <f t="shared" si="4"/>
        <v>452.6</v>
      </c>
      <c r="H121" s="3">
        <f t="shared" si="5"/>
        <v>0.53026955368979223</v>
      </c>
    </row>
    <row r="122" spans="1:8" x14ac:dyDescent="0.2">
      <c r="A122" s="63"/>
      <c r="B122" s="42" t="s">
        <v>16</v>
      </c>
      <c r="C122" s="3">
        <v>3</v>
      </c>
      <c r="D122" s="3"/>
      <c r="E122" s="11">
        <v>686</v>
      </c>
      <c r="F122" s="12">
        <v>1.8</v>
      </c>
      <c r="G122" s="3">
        <f t="shared" si="4"/>
        <v>684.2</v>
      </c>
      <c r="H122" s="3">
        <f t="shared" si="5"/>
        <v>0.26308097047646883</v>
      </c>
    </row>
    <row r="123" spans="1:8" x14ac:dyDescent="0.2">
      <c r="A123" s="63"/>
      <c r="B123" s="42" t="s">
        <v>16</v>
      </c>
      <c r="C123" s="3">
        <v>4</v>
      </c>
      <c r="D123" s="3"/>
      <c r="E123" s="11">
        <v>450</v>
      </c>
      <c r="F123" s="12">
        <v>2.4</v>
      </c>
      <c r="G123" s="3">
        <f t="shared" si="4"/>
        <v>447.6</v>
      </c>
      <c r="H123" s="3">
        <f t="shared" si="5"/>
        <v>0.53619302949061654</v>
      </c>
    </row>
    <row r="124" spans="1:8" x14ac:dyDescent="0.2">
      <c r="A124" s="63"/>
      <c r="B124" s="42" t="s">
        <v>16</v>
      </c>
      <c r="C124" s="3">
        <v>5</v>
      </c>
      <c r="D124" s="3"/>
      <c r="E124" s="11">
        <v>330</v>
      </c>
      <c r="F124" s="12">
        <v>1.2</v>
      </c>
      <c r="G124" s="3">
        <f t="shared" si="4"/>
        <v>328.8</v>
      </c>
      <c r="H124" s="3">
        <f t="shared" si="5"/>
        <v>0.36496350364963503</v>
      </c>
    </row>
    <row r="125" spans="1:8" x14ac:dyDescent="0.2">
      <c r="A125" s="63"/>
      <c r="B125" s="43" t="s">
        <v>15</v>
      </c>
      <c r="C125" s="4">
        <v>1</v>
      </c>
      <c r="D125" s="4"/>
      <c r="E125" s="13">
        <v>511</v>
      </c>
      <c r="F125" s="14">
        <v>2.2000000000000002</v>
      </c>
      <c r="G125" s="4">
        <f t="shared" si="4"/>
        <v>508.8</v>
      </c>
      <c r="H125" s="4">
        <f t="shared" si="5"/>
        <v>0.43238993710691825</v>
      </c>
    </row>
    <row r="126" spans="1:8" x14ac:dyDescent="0.2">
      <c r="A126" s="63"/>
      <c r="B126" s="43" t="s">
        <v>15</v>
      </c>
      <c r="C126" s="4">
        <v>2</v>
      </c>
      <c r="D126" s="4"/>
      <c r="E126" s="13">
        <v>445</v>
      </c>
      <c r="F126" s="14">
        <v>2.4</v>
      </c>
      <c r="G126" s="4">
        <f t="shared" si="4"/>
        <v>442.6</v>
      </c>
      <c r="H126" s="4">
        <f t="shared" si="5"/>
        <v>0.54225033890646179</v>
      </c>
    </row>
    <row r="127" spans="1:8" x14ac:dyDescent="0.2">
      <c r="A127" s="63"/>
      <c r="B127" s="43" t="s">
        <v>15</v>
      </c>
      <c r="C127" s="4">
        <v>3</v>
      </c>
      <c r="D127" s="4"/>
      <c r="E127" s="13">
        <v>560</v>
      </c>
      <c r="F127" s="14">
        <v>1.8</v>
      </c>
      <c r="G127" s="4">
        <f t="shared" si="4"/>
        <v>558.20000000000005</v>
      </c>
      <c r="H127" s="4">
        <f t="shared" si="5"/>
        <v>0.32246506628448585</v>
      </c>
    </row>
    <row r="128" spans="1:8" x14ac:dyDescent="0.2">
      <c r="A128" s="63"/>
      <c r="B128" s="43" t="s">
        <v>15</v>
      </c>
      <c r="C128" s="4">
        <v>4</v>
      </c>
      <c r="D128" s="4"/>
      <c r="E128" s="13">
        <v>450</v>
      </c>
      <c r="F128" s="14">
        <v>2.4</v>
      </c>
      <c r="G128" s="4">
        <f t="shared" si="4"/>
        <v>447.6</v>
      </c>
      <c r="H128" s="4">
        <f t="shared" si="5"/>
        <v>0.53619302949061654</v>
      </c>
    </row>
    <row r="129" spans="1:8" x14ac:dyDescent="0.2">
      <c r="A129" s="63"/>
      <c r="B129" s="43" t="s">
        <v>15</v>
      </c>
      <c r="C129" s="4">
        <v>5</v>
      </c>
      <c r="D129" s="4"/>
      <c r="E129" s="13">
        <v>499</v>
      </c>
      <c r="F129" s="14">
        <v>1.2</v>
      </c>
      <c r="G129" s="4">
        <f t="shared" si="4"/>
        <v>497.8</v>
      </c>
      <c r="H129" s="4">
        <f t="shared" si="5"/>
        <v>0.24106066693451184</v>
      </c>
    </row>
    <row r="130" spans="1:8" x14ac:dyDescent="0.2">
      <c r="A130" s="63"/>
      <c r="B130" s="44" t="s">
        <v>14</v>
      </c>
      <c r="C130" s="5">
        <v>1</v>
      </c>
      <c r="D130" s="5"/>
      <c r="E130" s="15">
        <v>500</v>
      </c>
      <c r="F130" s="16">
        <v>2.1</v>
      </c>
      <c r="G130" s="5">
        <f t="shared" si="4"/>
        <v>497.9</v>
      </c>
      <c r="H130" s="5">
        <f t="shared" si="5"/>
        <v>0.4217714400482025</v>
      </c>
    </row>
    <row r="131" spans="1:8" x14ac:dyDescent="0.2">
      <c r="A131" s="63"/>
      <c r="B131" s="44" t="s">
        <v>14</v>
      </c>
      <c r="C131" s="5">
        <v>2</v>
      </c>
      <c r="D131" s="5"/>
      <c r="E131" s="15">
        <v>455</v>
      </c>
      <c r="F131" s="16">
        <v>1.4</v>
      </c>
      <c r="G131" s="5">
        <f t="shared" si="4"/>
        <v>453.6</v>
      </c>
      <c r="H131" s="5">
        <f t="shared" si="5"/>
        <v>0.30864197530864196</v>
      </c>
    </row>
    <row r="132" spans="1:8" x14ac:dyDescent="0.2">
      <c r="A132" s="63"/>
      <c r="B132" s="44" t="s">
        <v>14</v>
      </c>
      <c r="C132" s="5">
        <v>3</v>
      </c>
      <c r="D132" s="5"/>
      <c r="E132" s="15">
        <v>686</v>
      </c>
      <c r="F132" s="16">
        <v>1.5</v>
      </c>
      <c r="G132" s="5">
        <f t="shared" si="4"/>
        <v>684.5</v>
      </c>
      <c r="H132" s="5">
        <f t="shared" si="5"/>
        <v>0.21913805697589481</v>
      </c>
    </row>
    <row r="133" spans="1:8" x14ac:dyDescent="0.2">
      <c r="A133" s="63"/>
      <c r="B133" s="44" t="s">
        <v>14</v>
      </c>
      <c r="C133" s="5">
        <v>4</v>
      </c>
      <c r="D133" s="5"/>
      <c r="E133" s="15">
        <v>450</v>
      </c>
      <c r="F133" s="16">
        <v>1.3</v>
      </c>
      <c r="G133" s="5">
        <f t="shared" si="4"/>
        <v>448.7</v>
      </c>
      <c r="H133" s="5">
        <f t="shared" si="5"/>
        <v>0.28972587474927569</v>
      </c>
    </row>
    <row r="134" spans="1:8" x14ac:dyDescent="0.2">
      <c r="A134" s="63"/>
      <c r="B134" s="44" t="s">
        <v>14</v>
      </c>
      <c r="C134" s="5">
        <v>5</v>
      </c>
      <c r="D134" s="5"/>
      <c r="E134" s="15">
        <v>330</v>
      </c>
      <c r="F134" s="16">
        <v>0.8</v>
      </c>
      <c r="G134" s="5">
        <f t="shared" si="4"/>
        <v>329.2</v>
      </c>
      <c r="H134" s="5">
        <f t="shared" si="5"/>
        <v>0.24301336573511545</v>
      </c>
    </row>
    <row r="135" spans="1:8" x14ac:dyDescent="0.2">
      <c r="A135" s="61" t="s">
        <v>10</v>
      </c>
      <c r="B135" s="42" t="s">
        <v>16</v>
      </c>
      <c r="C135" s="3">
        <v>1</v>
      </c>
      <c r="D135" s="3"/>
      <c r="E135" s="11">
        <v>500</v>
      </c>
      <c r="F135" s="12">
        <v>2.2000000000000002</v>
      </c>
      <c r="G135" s="3">
        <f t="shared" si="4"/>
        <v>497.8</v>
      </c>
      <c r="H135" s="3">
        <f t="shared" si="5"/>
        <v>0.44194455604660504</v>
      </c>
    </row>
    <row r="136" spans="1:8" x14ac:dyDescent="0.2">
      <c r="A136" s="61"/>
      <c r="B136" s="42" t="s">
        <v>16</v>
      </c>
      <c r="C136" s="3">
        <v>2</v>
      </c>
      <c r="D136" s="3"/>
      <c r="E136" s="11">
        <v>455</v>
      </c>
      <c r="F136" s="12">
        <v>2.4</v>
      </c>
      <c r="G136" s="3">
        <f t="shared" si="4"/>
        <v>452.6</v>
      </c>
      <c r="H136" s="3">
        <f t="shared" si="5"/>
        <v>0.53026955368979223</v>
      </c>
    </row>
    <row r="137" spans="1:8" x14ac:dyDescent="0.2">
      <c r="A137" s="61"/>
      <c r="B137" s="42" t="s">
        <v>16</v>
      </c>
      <c r="C137" s="3">
        <v>3</v>
      </c>
      <c r="D137" s="3"/>
      <c r="E137" s="11">
        <v>686</v>
      </c>
      <c r="F137" s="12">
        <v>1.8</v>
      </c>
      <c r="G137" s="3">
        <f t="shared" si="4"/>
        <v>684.2</v>
      </c>
      <c r="H137" s="3">
        <f t="shared" si="5"/>
        <v>0.26308097047646883</v>
      </c>
    </row>
    <row r="138" spans="1:8" x14ac:dyDescent="0.2">
      <c r="A138" s="61"/>
      <c r="B138" s="42" t="s">
        <v>16</v>
      </c>
      <c r="C138" s="3">
        <v>4</v>
      </c>
      <c r="D138" s="3"/>
      <c r="E138" s="11">
        <v>450</v>
      </c>
      <c r="F138" s="12">
        <v>2.4</v>
      </c>
      <c r="G138" s="3">
        <f t="shared" si="4"/>
        <v>447.6</v>
      </c>
      <c r="H138" s="3">
        <f t="shared" si="5"/>
        <v>0.53619302949061654</v>
      </c>
    </row>
    <row r="139" spans="1:8" x14ac:dyDescent="0.2">
      <c r="A139" s="61"/>
      <c r="B139" s="42" t="s">
        <v>16</v>
      </c>
      <c r="C139" s="3">
        <v>5</v>
      </c>
      <c r="D139" s="3"/>
      <c r="E139" s="11">
        <v>330</v>
      </c>
      <c r="F139" s="12">
        <v>1.2</v>
      </c>
      <c r="G139" s="3">
        <f t="shared" si="4"/>
        <v>328.8</v>
      </c>
      <c r="H139" s="3">
        <f t="shared" si="5"/>
        <v>0.36496350364963503</v>
      </c>
    </row>
    <row r="140" spans="1:8" x14ac:dyDescent="0.2">
      <c r="A140" s="61"/>
      <c r="B140" s="43" t="s">
        <v>15</v>
      </c>
      <c r="C140" s="4">
        <v>1</v>
      </c>
      <c r="D140" s="4"/>
      <c r="E140" s="13">
        <v>511</v>
      </c>
      <c r="F140" s="14">
        <v>2.2000000000000002</v>
      </c>
      <c r="G140" s="4">
        <f t="shared" si="4"/>
        <v>508.8</v>
      </c>
      <c r="H140" s="4">
        <f t="shared" si="5"/>
        <v>0.43238993710691825</v>
      </c>
    </row>
    <row r="141" spans="1:8" x14ac:dyDescent="0.2">
      <c r="A141" s="61"/>
      <c r="B141" s="43" t="s">
        <v>15</v>
      </c>
      <c r="C141" s="4">
        <v>2</v>
      </c>
      <c r="D141" s="4"/>
      <c r="E141" s="13">
        <v>445</v>
      </c>
      <c r="F141" s="14">
        <v>2.4</v>
      </c>
      <c r="G141" s="4">
        <f t="shared" si="4"/>
        <v>442.6</v>
      </c>
      <c r="H141" s="4">
        <f t="shared" si="5"/>
        <v>0.54225033890646179</v>
      </c>
    </row>
    <row r="142" spans="1:8" x14ac:dyDescent="0.2">
      <c r="A142" s="61"/>
      <c r="B142" s="43" t="s">
        <v>15</v>
      </c>
      <c r="C142" s="4">
        <v>3</v>
      </c>
      <c r="D142" s="4"/>
      <c r="E142" s="13">
        <v>560</v>
      </c>
      <c r="F142" s="14">
        <v>1.8</v>
      </c>
      <c r="G142" s="4">
        <f t="shared" si="4"/>
        <v>558.20000000000005</v>
      </c>
      <c r="H142" s="4">
        <f t="shared" si="5"/>
        <v>0.32246506628448585</v>
      </c>
    </row>
    <row r="143" spans="1:8" x14ac:dyDescent="0.2">
      <c r="A143" s="61"/>
      <c r="B143" s="43" t="s">
        <v>15</v>
      </c>
      <c r="C143" s="4">
        <v>4</v>
      </c>
      <c r="D143" s="4"/>
      <c r="E143" s="13">
        <v>450</v>
      </c>
      <c r="F143" s="14">
        <v>2.4</v>
      </c>
      <c r="G143" s="4">
        <f t="shared" si="4"/>
        <v>447.6</v>
      </c>
      <c r="H143" s="4">
        <f t="shared" si="5"/>
        <v>0.53619302949061654</v>
      </c>
    </row>
    <row r="144" spans="1:8" x14ac:dyDescent="0.2">
      <c r="A144" s="61"/>
      <c r="B144" s="43" t="s">
        <v>15</v>
      </c>
      <c r="C144" s="4">
        <v>5</v>
      </c>
      <c r="D144" s="4"/>
      <c r="E144" s="13">
        <v>499</v>
      </c>
      <c r="F144" s="14">
        <v>1.2</v>
      </c>
      <c r="G144" s="4">
        <f t="shared" si="4"/>
        <v>497.8</v>
      </c>
      <c r="H144" s="4">
        <f t="shared" si="5"/>
        <v>0.24106066693451184</v>
      </c>
    </row>
    <row r="145" spans="1:8" x14ac:dyDescent="0.2">
      <c r="A145" s="61"/>
      <c r="B145" s="44" t="s">
        <v>14</v>
      </c>
      <c r="C145" s="5">
        <v>1</v>
      </c>
      <c r="D145" s="5"/>
      <c r="E145" s="15">
        <v>500</v>
      </c>
      <c r="F145" s="16">
        <v>2.1</v>
      </c>
      <c r="G145" s="5">
        <f t="shared" si="4"/>
        <v>497.9</v>
      </c>
      <c r="H145" s="5">
        <f t="shared" si="5"/>
        <v>0.4217714400482025</v>
      </c>
    </row>
    <row r="146" spans="1:8" x14ac:dyDescent="0.2">
      <c r="A146" s="61"/>
      <c r="B146" s="44" t="s">
        <v>14</v>
      </c>
      <c r="C146" s="5">
        <v>2</v>
      </c>
      <c r="D146" s="5"/>
      <c r="E146" s="15">
        <v>455</v>
      </c>
      <c r="F146" s="16">
        <v>1.4</v>
      </c>
      <c r="G146" s="5">
        <f t="shared" si="4"/>
        <v>453.6</v>
      </c>
      <c r="H146" s="5">
        <f t="shared" si="5"/>
        <v>0.30864197530864196</v>
      </c>
    </row>
    <row r="147" spans="1:8" x14ac:dyDescent="0.2">
      <c r="A147" s="61"/>
      <c r="B147" s="44" t="s">
        <v>14</v>
      </c>
      <c r="C147" s="5">
        <v>3</v>
      </c>
      <c r="D147" s="5"/>
      <c r="E147" s="15">
        <v>686</v>
      </c>
      <c r="F147" s="16">
        <v>1.5</v>
      </c>
      <c r="G147" s="5">
        <f t="shared" si="4"/>
        <v>684.5</v>
      </c>
      <c r="H147" s="5">
        <f t="shared" si="5"/>
        <v>0.21913805697589481</v>
      </c>
    </row>
    <row r="148" spans="1:8" x14ac:dyDescent="0.2">
      <c r="A148" s="61"/>
      <c r="B148" s="44" t="s">
        <v>14</v>
      </c>
      <c r="C148" s="5">
        <v>4</v>
      </c>
      <c r="D148" s="5"/>
      <c r="E148" s="15">
        <v>450</v>
      </c>
      <c r="F148" s="16">
        <v>1.3</v>
      </c>
      <c r="G148" s="5">
        <f t="shared" si="4"/>
        <v>448.7</v>
      </c>
      <c r="H148" s="5">
        <f t="shared" si="5"/>
        <v>0.28972587474927569</v>
      </c>
    </row>
    <row r="149" spans="1:8" x14ac:dyDescent="0.2">
      <c r="A149" s="61"/>
      <c r="B149" s="44" t="s">
        <v>14</v>
      </c>
      <c r="C149" s="5">
        <v>5</v>
      </c>
      <c r="D149" s="5"/>
      <c r="E149" s="15">
        <v>330</v>
      </c>
      <c r="F149" s="16">
        <v>0.8</v>
      </c>
      <c r="G149" s="5">
        <f t="shared" si="4"/>
        <v>329.2</v>
      </c>
      <c r="H149" s="5">
        <f t="shared" si="5"/>
        <v>0.24301336573511545</v>
      </c>
    </row>
    <row r="150" spans="1:8" x14ac:dyDescent="0.2">
      <c r="A150" s="62" t="s">
        <v>11</v>
      </c>
      <c r="B150" s="42" t="s">
        <v>16</v>
      </c>
      <c r="C150" s="3">
        <v>1</v>
      </c>
      <c r="D150" s="3"/>
      <c r="E150" s="11">
        <v>500</v>
      </c>
      <c r="F150" s="12">
        <v>2.2000000000000002</v>
      </c>
      <c r="G150" s="3">
        <f t="shared" si="4"/>
        <v>497.8</v>
      </c>
      <c r="H150" s="3">
        <f t="shared" si="5"/>
        <v>0.44194455604660504</v>
      </c>
    </row>
    <row r="151" spans="1:8" x14ac:dyDescent="0.2">
      <c r="A151" s="62"/>
      <c r="B151" s="42" t="s">
        <v>16</v>
      </c>
      <c r="C151" s="3">
        <v>2</v>
      </c>
      <c r="D151" s="3"/>
      <c r="E151" s="11">
        <v>455</v>
      </c>
      <c r="F151" s="12">
        <v>2.4</v>
      </c>
      <c r="G151" s="3">
        <f t="shared" si="4"/>
        <v>452.6</v>
      </c>
      <c r="H151" s="3">
        <f t="shared" si="5"/>
        <v>0.53026955368979223</v>
      </c>
    </row>
    <row r="152" spans="1:8" x14ac:dyDescent="0.2">
      <c r="A152" s="62"/>
      <c r="B152" s="42" t="s">
        <v>16</v>
      </c>
      <c r="C152" s="3">
        <v>3</v>
      </c>
      <c r="D152" s="3"/>
      <c r="E152" s="11">
        <v>686</v>
      </c>
      <c r="F152" s="12">
        <v>1.8</v>
      </c>
      <c r="G152" s="3">
        <f t="shared" si="4"/>
        <v>684.2</v>
      </c>
      <c r="H152" s="3">
        <f t="shared" si="5"/>
        <v>0.26308097047646883</v>
      </c>
    </row>
    <row r="153" spans="1:8" x14ac:dyDescent="0.2">
      <c r="A153" s="62"/>
      <c r="B153" s="42" t="s">
        <v>16</v>
      </c>
      <c r="C153" s="3">
        <v>4</v>
      </c>
      <c r="D153" s="3"/>
      <c r="E153" s="11">
        <v>450</v>
      </c>
      <c r="F153" s="12">
        <v>2.4</v>
      </c>
      <c r="G153" s="3">
        <f t="shared" si="4"/>
        <v>447.6</v>
      </c>
      <c r="H153" s="3">
        <f t="shared" si="5"/>
        <v>0.53619302949061654</v>
      </c>
    </row>
    <row r="154" spans="1:8" x14ac:dyDescent="0.2">
      <c r="A154" s="62"/>
      <c r="B154" s="42" t="s">
        <v>16</v>
      </c>
      <c r="C154" s="3">
        <v>5</v>
      </c>
      <c r="D154" s="3"/>
      <c r="E154" s="11">
        <v>330</v>
      </c>
      <c r="F154" s="12">
        <v>1.2</v>
      </c>
      <c r="G154" s="3">
        <f t="shared" si="4"/>
        <v>328.8</v>
      </c>
      <c r="H154" s="3">
        <f t="shared" si="5"/>
        <v>0.36496350364963503</v>
      </c>
    </row>
    <row r="155" spans="1:8" x14ac:dyDescent="0.2">
      <c r="A155" s="62"/>
      <c r="B155" s="43" t="s">
        <v>15</v>
      </c>
      <c r="C155" s="4">
        <v>1</v>
      </c>
      <c r="D155" s="4"/>
      <c r="E155" s="13">
        <v>511</v>
      </c>
      <c r="F155" s="14">
        <v>2.2000000000000002</v>
      </c>
      <c r="G155" s="4">
        <f t="shared" si="4"/>
        <v>508.8</v>
      </c>
      <c r="H155" s="4">
        <f t="shared" si="5"/>
        <v>0.43238993710691825</v>
      </c>
    </row>
    <row r="156" spans="1:8" x14ac:dyDescent="0.2">
      <c r="A156" s="62"/>
      <c r="B156" s="43" t="s">
        <v>15</v>
      </c>
      <c r="C156" s="4">
        <v>2</v>
      </c>
      <c r="D156" s="4"/>
      <c r="E156" s="13">
        <v>445</v>
      </c>
      <c r="F156" s="14">
        <v>2.4</v>
      </c>
      <c r="G156" s="4">
        <f t="shared" si="4"/>
        <v>442.6</v>
      </c>
      <c r="H156" s="4">
        <f t="shared" si="5"/>
        <v>0.54225033890646179</v>
      </c>
    </row>
    <row r="157" spans="1:8" x14ac:dyDescent="0.2">
      <c r="A157" s="62"/>
      <c r="B157" s="43" t="s">
        <v>15</v>
      </c>
      <c r="C157" s="4">
        <v>3</v>
      </c>
      <c r="D157" s="4"/>
      <c r="E157" s="13">
        <v>560</v>
      </c>
      <c r="F157" s="14">
        <v>1.8</v>
      </c>
      <c r="G157" s="4">
        <f t="shared" si="4"/>
        <v>558.20000000000005</v>
      </c>
      <c r="H157" s="4">
        <f t="shared" si="5"/>
        <v>0.32246506628448585</v>
      </c>
    </row>
    <row r="158" spans="1:8" x14ac:dyDescent="0.2">
      <c r="A158" s="62"/>
      <c r="B158" s="43" t="s">
        <v>15</v>
      </c>
      <c r="C158" s="4">
        <v>4</v>
      </c>
      <c r="D158" s="4"/>
      <c r="E158" s="13">
        <v>450</v>
      </c>
      <c r="F158" s="14">
        <v>2.4</v>
      </c>
      <c r="G158" s="4">
        <f t="shared" si="4"/>
        <v>447.6</v>
      </c>
      <c r="H158" s="4">
        <f t="shared" si="5"/>
        <v>0.53619302949061654</v>
      </c>
    </row>
    <row r="159" spans="1:8" x14ac:dyDescent="0.2">
      <c r="A159" s="62"/>
      <c r="B159" s="43" t="s">
        <v>15</v>
      </c>
      <c r="C159" s="4">
        <v>5</v>
      </c>
      <c r="D159" s="4"/>
      <c r="E159" s="13">
        <v>499</v>
      </c>
      <c r="F159" s="14">
        <v>1.2</v>
      </c>
      <c r="G159" s="4">
        <f t="shared" si="4"/>
        <v>497.8</v>
      </c>
      <c r="H159" s="4">
        <f t="shared" si="5"/>
        <v>0.24106066693451184</v>
      </c>
    </row>
    <row r="160" spans="1:8" x14ac:dyDescent="0.2">
      <c r="A160" s="62"/>
      <c r="B160" s="44" t="s">
        <v>14</v>
      </c>
      <c r="C160" s="5">
        <v>1</v>
      </c>
      <c r="D160" s="5"/>
      <c r="E160" s="15">
        <v>500</v>
      </c>
      <c r="F160" s="16">
        <v>2.1</v>
      </c>
      <c r="G160" s="5">
        <f t="shared" si="4"/>
        <v>497.9</v>
      </c>
      <c r="H160" s="5">
        <f t="shared" si="5"/>
        <v>0.4217714400482025</v>
      </c>
    </row>
    <row r="161" spans="1:8" x14ac:dyDescent="0.2">
      <c r="A161" s="62"/>
      <c r="B161" s="44" t="s">
        <v>14</v>
      </c>
      <c r="C161" s="5">
        <v>2</v>
      </c>
      <c r="D161" s="5"/>
      <c r="E161" s="15">
        <v>455</v>
      </c>
      <c r="F161" s="16">
        <v>1.4</v>
      </c>
      <c r="G161" s="5">
        <f t="shared" si="4"/>
        <v>453.6</v>
      </c>
      <c r="H161" s="5">
        <f t="shared" si="5"/>
        <v>0.30864197530864196</v>
      </c>
    </row>
    <row r="162" spans="1:8" x14ac:dyDescent="0.2">
      <c r="A162" s="62"/>
      <c r="B162" s="44" t="s">
        <v>14</v>
      </c>
      <c r="C162" s="5">
        <v>3</v>
      </c>
      <c r="D162" s="5"/>
      <c r="E162" s="15">
        <v>686</v>
      </c>
      <c r="F162" s="16">
        <v>1.5</v>
      </c>
      <c r="G162" s="5">
        <f t="shared" si="4"/>
        <v>684.5</v>
      </c>
      <c r="H162" s="5">
        <f t="shared" si="5"/>
        <v>0.21913805697589481</v>
      </c>
    </row>
    <row r="163" spans="1:8" x14ac:dyDescent="0.2">
      <c r="A163" s="62"/>
      <c r="B163" s="44" t="s">
        <v>14</v>
      </c>
      <c r="C163" s="5">
        <v>4</v>
      </c>
      <c r="D163" s="5"/>
      <c r="E163" s="15">
        <v>450</v>
      </c>
      <c r="F163" s="16">
        <v>1.3</v>
      </c>
      <c r="G163" s="5">
        <f t="shared" si="4"/>
        <v>448.7</v>
      </c>
      <c r="H163" s="5">
        <f t="shared" si="5"/>
        <v>0.28972587474927569</v>
      </c>
    </row>
    <row r="164" spans="1:8" x14ac:dyDescent="0.2">
      <c r="A164" s="62"/>
      <c r="B164" s="44" t="s">
        <v>14</v>
      </c>
      <c r="C164" s="5">
        <v>5</v>
      </c>
      <c r="D164" s="5"/>
      <c r="E164" s="15">
        <v>330</v>
      </c>
      <c r="F164" s="16">
        <v>0.8</v>
      </c>
      <c r="G164" s="5">
        <f t="shared" si="4"/>
        <v>329.2</v>
      </c>
      <c r="H164" s="5">
        <f t="shared" si="5"/>
        <v>0.24301336573511545</v>
      </c>
    </row>
    <row r="165" spans="1:8" x14ac:dyDescent="0.2">
      <c r="A165" s="63" t="s">
        <v>12</v>
      </c>
      <c r="B165" s="42" t="s">
        <v>16</v>
      </c>
      <c r="C165" s="3">
        <v>1</v>
      </c>
      <c r="D165" s="3"/>
      <c r="E165" s="11">
        <v>500</v>
      </c>
      <c r="F165" s="12">
        <v>2.2000000000000002</v>
      </c>
      <c r="G165" s="3">
        <f t="shared" si="4"/>
        <v>497.8</v>
      </c>
      <c r="H165" s="3">
        <f t="shared" si="5"/>
        <v>0.44194455604660504</v>
      </c>
    </row>
    <row r="166" spans="1:8" x14ac:dyDescent="0.2">
      <c r="A166" s="63"/>
      <c r="B166" s="42" t="s">
        <v>16</v>
      </c>
      <c r="C166" s="3">
        <v>2</v>
      </c>
      <c r="D166" s="3"/>
      <c r="E166" s="11">
        <v>455</v>
      </c>
      <c r="F166" s="12">
        <v>2.4</v>
      </c>
      <c r="G166" s="3">
        <f t="shared" si="4"/>
        <v>452.6</v>
      </c>
      <c r="H166" s="3">
        <f t="shared" si="5"/>
        <v>0.53026955368979223</v>
      </c>
    </row>
    <row r="167" spans="1:8" x14ac:dyDescent="0.2">
      <c r="A167" s="63"/>
      <c r="B167" s="42" t="s">
        <v>16</v>
      </c>
      <c r="C167" s="3">
        <v>3</v>
      </c>
      <c r="D167" s="3"/>
      <c r="E167" s="11">
        <v>686</v>
      </c>
      <c r="F167" s="12">
        <v>1.8</v>
      </c>
      <c r="G167" s="3">
        <f t="shared" si="4"/>
        <v>684.2</v>
      </c>
      <c r="H167" s="3">
        <f t="shared" si="5"/>
        <v>0.26308097047646883</v>
      </c>
    </row>
    <row r="168" spans="1:8" x14ac:dyDescent="0.2">
      <c r="A168" s="63"/>
      <c r="B168" s="42" t="s">
        <v>16</v>
      </c>
      <c r="C168" s="3">
        <v>4</v>
      </c>
      <c r="D168" s="3"/>
      <c r="E168" s="11">
        <v>450</v>
      </c>
      <c r="F168" s="12">
        <v>2.4</v>
      </c>
      <c r="G168" s="3">
        <f t="shared" si="4"/>
        <v>447.6</v>
      </c>
      <c r="H168" s="3">
        <f t="shared" si="5"/>
        <v>0.53619302949061654</v>
      </c>
    </row>
    <row r="169" spans="1:8" x14ac:dyDescent="0.2">
      <c r="A169" s="63"/>
      <c r="B169" s="42" t="s">
        <v>16</v>
      </c>
      <c r="C169" s="3">
        <v>5</v>
      </c>
      <c r="D169" s="3"/>
      <c r="E169" s="11">
        <v>330</v>
      </c>
      <c r="F169" s="12">
        <v>1.2</v>
      </c>
      <c r="G169" s="3">
        <f t="shared" si="4"/>
        <v>328.8</v>
      </c>
      <c r="H169" s="3">
        <f t="shared" si="5"/>
        <v>0.36496350364963503</v>
      </c>
    </row>
    <row r="170" spans="1:8" x14ac:dyDescent="0.2">
      <c r="A170" s="63"/>
      <c r="B170" s="43" t="s">
        <v>15</v>
      </c>
      <c r="C170" s="4">
        <v>1</v>
      </c>
      <c r="D170" s="4"/>
      <c r="E170" s="13">
        <v>511</v>
      </c>
      <c r="F170" s="14">
        <v>2.2000000000000002</v>
      </c>
      <c r="G170" s="4">
        <f t="shared" si="4"/>
        <v>508.8</v>
      </c>
      <c r="H170" s="4">
        <f t="shared" si="5"/>
        <v>0.43238993710691825</v>
      </c>
    </row>
    <row r="171" spans="1:8" x14ac:dyDescent="0.2">
      <c r="A171" s="63"/>
      <c r="B171" s="43" t="s">
        <v>15</v>
      </c>
      <c r="C171" s="4">
        <v>2</v>
      </c>
      <c r="D171" s="4"/>
      <c r="E171" s="13">
        <v>445</v>
      </c>
      <c r="F171" s="14">
        <v>2.4</v>
      </c>
      <c r="G171" s="4">
        <f t="shared" si="4"/>
        <v>442.6</v>
      </c>
      <c r="H171" s="4">
        <f t="shared" si="5"/>
        <v>0.54225033890646179</v>
      </c>
    </row>
    <row r="172" spans="1:8" x14ac:dyDescent="0.2">
      <c r="A172" s="63"/>
      <c r="B172" s="43" t="s">
        <v>15</v>
      </c>
      <c r="C172" s="4">
        <v>3</v>
      </c>
      <c r="D172" s="4"/>
      <c r="E172" s="13">
        <v>560</v>
      </c>
      <c r="F172" s="14">
        <v>1.8</v>
      </c>
      <c r="G172" s="4">
        <f t="shared" si="4"/>
        <v>558.20000000000005</v>
      </c>
      <c r="H172" s="4">
        <f t="shared" si="5"/>
        <v>0.32246506628448585</v>
      </c>
    </row>
    <row r="173" spans="1:8" x14ac:dyDescent="0.2">
      <c r="A173" s="63"/>
      <c r="B173" s="43" t="s">
        <v>15</v>
      </c>
      <c r="C173" s="4">
        <v>4</v>
      </c>
      <c r="D173" s="4"/>
      <c r="E173" s="13">
        <v>450</v>
      </c>
      <c r="F173" s="14">
        <v>2.4</v>
      </c>
      <c r="G173" s="4">
        <f t="shared" si="4"/>
        <v>447.6</v>
      </c>
      <c r="H173" s="4">
        <f t="shared" si="5"/>
        <v>0.53619302949061654</v>
      </c>
    </row>
    <row r="174" spans="1:8" x14ac:dyDescent="0.2">
      <c r="A174" s="63"/>
      <c r="B174" s="43" t="s">
        <v>15</v>
      </c>
      <c r="C174" s="4">
        <v>5</v>
      </c>
      <c r="D174" s="4"/>
      <c r="E174" s="13">
        <v>499</v>
      </c>
      <c r="F174" s="14">
        <v>1.2</v>
      </c>
      <c r="G174" s="4">
        <f t="shared" si="4"/>
        <v>497.8</v>
      </c>
      <c r="H174" s="4">
        <f t="shared" si="5"/>
        <v>0.24106066693451184</v>
      </c>
    </row>
    <row r="175" spans="1:8" x14ac:dyDescent="0.2">
      <c r="A175" s="63"/>
      <c r="B175" s="44" t="s">
        <v>14</v>
      </c>
      <c r="C175" s="5">
        <v>1</v>
      </c>
      <c r="D175" s="5"/>
      <c r="E175" s="15">
        <v>500</v>
      </c>
      <c r="F175" s="16">
        <v>2.1</v>
      </c>
      <c r="G175" s="5">
        <f t="shared" si="4"/>
        <v>497.9</v>
      </c>
      <c r="H175" s="5">
        <f t="shared" si="5"/>
        <v>0.4217714400482025</v>
      </c>
    </row>
    <row r="176" spans="1:8" x14ac:dyDescent="0.2">
      <c r="A176" s="63"/>
      <c r="B176" s="44" t="s">
        <v>14</v>
      </c>
      <c r="C176" s="5">
        <v>2</v>
      </c>
      <c r="D176" s="5"/>
      <c r="E176" s="15">
        <v>455</v>
      </c>
      <c r="F176" s="16">
        <v>1.4</v>
      </c>
      <c r="G176" s="5">
        <f t="shared" ref="G176:G194" si="6">IFERROR(E176-F176, "")</f>
        <v>453.6</v>
      </c>
      <c r="H176" s="5">
        <f t="shared" ref="H176:H194" si="7">IFERROR(F176/G176*100, "")</f>
        <v>0.30864197530864196</v>
      </c>
    </row>
    <row r="177" spans="1:8" x14ac:dyDescent="0.2">
      <c r="A177" s="63"/>
      <c r="B177" s="44" t="s">
        <v>14</v>
      </c>
      <c r="C177" s="5">
        <v>3</v>
      </c>
      <c r="D177" s="5"/>
      <c r="E177" s="15">
        <v>686</v>
      </c>
      <c r="F177" s="16">
        <v>1.5</v>
      </c>
      <c r="G177" s="5">
        <f t="shared" si="6"/>
        <v>684.5</v>
      </c>
      <c r="H177" s="5">
        <f t="shared" si="7"/>
        <v>0.21913805697589481</v>
      </c>
    </row>
    <row r="178" spans="1:8" x14ac:dyDescent="0.2">
      <c r="A178" s="63"/>
      <c r="B178" s="44" t="s">
        <v>14</v>
      </c>
      <c r="C178" s="5">
        <v>4</v>
      </c>
      <c r="D178" s="5"/>
      <c r="E178" s="15">
        <v>450</v>
      </c>
      <c r="F178" s="16">
        <v>1.3</v>
      </c>
      <c r="G178" s="5">
        <f t="shared" si="6"/>
        <v>448.7</v>
      </c>
      <c r="H178" s="5">
        <f t="shared" si="7"/>
        <v>0.28972587474927569</v>
      </c>
    </row>
    <row r="179" spans="1:8" x14ac:dyDescent="0.2">
      <c r="A179" s="63"/>
      <c r="B179" s="44" t="s">
        <v>14</v>
      </c>
      <c r="C179" s="5">
        <v>5</v>
      </c>
      <c r="D179" s="5"/>
      <c r="E179" s="15">
        <v>330</v>
      </c>
      <c r="F179" s="16">
        <v>0.8</v>
      </c>
      <c r="G179" s="5">
        <f t="shared" si="6"/>
        <v>329.2</v>
      </c>
      <c r="H179" s="5">
        <f t="shared" si="7"/>
        <v>0.24301336573511545</v>
      </c>
    </row>
    <row r="180" spans="1:8" x14ac:dyDescent="0.2">
      <c r="A180" s="61" t="s">
        <v>13</v>
      </c>
      <c r="B180" s="42" t="s">
        <v>16</v>
      </c>
      <c r="C180" s="3">
        <v>1</v>
      </c>
      <c r="D180" s="3"/>
      <c r="E180" s="11">
        <v>500</v>
      </c>
      <c r="F180" s="12">
        <v>2.2000000000000002</v>
      </c>
      <c r="G180" s="3">
        <f t="shared" si="6"/>
        <v>497.8</v>
      </c>
      <c r="H180" s="3">
        <f t="shared" si="7"/>
        <v>0.44194455604660504</v>
      </c>
    </row>
    <row r="181" spans="1:8" x14ac:dyDescent="0.2">
      <c r="A181" s="61"/>
      <c r="B181" s="42" t="s">
        <v>16</v>
      </c>
      <c r="C181" s="3">
        <v>2</v>
      </c>
      <c r="D181" s="3"/>
      <c r="E181" s="11">
        <v>455</v>
      </c>
      <c r="F181" s="12">
        <v>2.4</v>
      </c>
      <c r="G181" s="3">
        <f t="shared" si="6"/>
        <v>452.6</v>
      </c>
      <c r="H181" s="3">
        <f t="shared" si="7"/>
        <v>0.53026955368979223</v>
      </c>
    </row>
    <row r="182" spans="1:8" x14ac:dyDescent="0.2">
      <c r="A182" s="61"/>
      <c r="B182" s="42" t="s">
        <v>16</v>
      </c>
      <c r="C182" s="3">
        <v>3</v>
      </c>
      <c r="D182" s="3"/>
      <c r="E182" s="11">
        <v>686</v>
      </c>
      <c r="F182" s="12">
        <v>1.8</v>
      </c>
      <c r="G182" s="3">
        <f t="shared" si="6"/>
        <v>684.2</v>
      </c>
      <c r="H182" s="3">
        <f t="shared" si="7"/>
        <v>0.26308097047646883</v>
      </c>
    </row>
    <row r="183" spans="1:8" x14ac:dyDescent="0.2">
      <c r="A183" s="61"/>
      <c r="B183" s="42" t="s">
        <v>16</v>
      </c>
      <c r="C183" s="3">
        <v>4</v>
      </c>
      <c r="D183" s="3"/>
      <c r="E183" s="11">
        <v>450</v>
      </c>
      <c r="F183" s="12">
        <v>2.4</v>
      </c>
      <c r="G183" s="3">
        <f t="shared" si="6"/>
        <v>447.6</v>
      </c>
      <c r="H183" s="3">
        <f t="shared" si="7"/>
        <v>0.53619302949061654</v>
      </c>
    </row>
    <row r="184" spans="1:8" x14ac:dyDescent="0.2">
      <c r="A184" s="61"/>
      <c r="B184" s="42" t="s">
        <v>16</v>
      </c>
      <c r="C184" s="3">
        <v>5</v>
      </c>
      <c r="D184" s="3"/>
      <c r="E184" s="11">
        <v>330</v>
      </c>
      <c r="F184" s="12">
        <v>1.2</v>
      </c>
      <c r="G184" s="3">
        <f t="shared" si="6"/>
        <v>328.8</v>
      </c>
      <c r="H184" s="3">
        <f t="shared" si="7"/>
        <v>0.36496350364963503</v>
      </c>
    </row>
    <row r="185" spans="1:8" x14ac:dyDescent="0.2">
      <c r="A185" s="61"/>
      <c r="B185" s="43" t="s">
        <v>15</v>
      </c>
      <c r="C185" s="4">
        <v>1</v>
      </c>
      <c r="D185" s="4"/>
      <c r="E185" s="13">
        <v>511</v>
      </c>
      <c r="F185" s="14">
        <v>2.2000000000000002</v>
      </c>
      <c r="G185" s="4">
        <f t="shared" si="6"/>
        <v>508.8</v>
      </c>
      <c r="H185" s="4">
        <f t="shared" si="7"/>
        <v>0.43238993710691825</v>
      </c>
    </row>
    <row r="186" spans="1:8" x14ac:dyDescent="0.2">
      <c r="A186" s="61"/>
      <c r="B186" s="43" t="s">
        <v>15</v>
      </c>
      <c r="C186" s="4">
        <v>2</v>
      </c>
      <c r="D186" s="4"/>
      <c r="E186" s="13">
        <v>445</v>
      </c>
      <c r="F186" s="14">
        <v>2.4</v>
      </c>
      <c r="G186" s="4">
        <f t="shared" si="6"/>
        <v>442.6</v>
      </c>
      <c r="H186" s="4">
        <f t="shared" si="7"/>
        <v>0.54225033890646179</v>
      </c>
    </row>
    <row r="187" spans="1:8" x14ac:dyDescent="0.2">
      <c r="A187" s="61"/>
      <c r="B187" s="43" t="s">
        <v>15</v>
      </c>
      <c r="C187" s="4">
        <v>3</v>
      </c>
      <c r="D187" s="4"/>
      <c r="E187" s="13">
        <v>560</v>
      </c>
      <c r="F187" s="14">
        <v>1.8</v>
      </c>
      <c r="G187" s="4">
        <f t="shared" si="6"/>
        <v>558.20000000000005</v>
      </c>
      <c r="H187" s="4">
        <f t="shared" si="7"/>
        <v>0.32246506628448585</v>
      </c>
    </row>
    <row r="188" spans="1:8" x14ac:dyDescent="0.2">
      <c r="A188" s="61"/>
      <c r="B188" s="43" t="s">
        <v>15</v>
      </c>
      <c r="C188" s="4">
        <v>4</v>
      </c>
      <c r="D188" s="4"/>
      <c r="E188" s="13">
        <v>450</v>
      </c>
      <c r="F188" s="14">
        <v>2.4</v>
      </c>
      <c r="G188" s="4">
        <f t="shared" si="6"/>
        <v>447.6</v>
      </c>
      <c r="H188" s="4">
        <f t="shared" si="7"/>
        <v>0.53619302949061654</v>
      </c>
    </row>
    <row r="189" spans="1:8" x14ac:dyDescent="0.2">
      <c r="A189" s="61"/>
      <c r="B189" s="43" t="s">
        <v>15</v>
      </c>
      <c r="C189" s="4">
        <v>5</v>
      </c>
      <c r="D189" s="4"/>
      <c r="E189" s="13">
        <v>499</v>
      </c>
      <c r="F189" s="14">
        <v>1.2</v>
      </c>
      <c r="G189" s="4">
        <f t="shared" si="6"/>
        <v>497.8</v>
      </c>
      <c r="H189" s="4">
        <f t="shared" si="7"/>
        <v>0.24106066693451184</v>
      </c>
    </row>
    <row r="190" spans="1:8" x14ac:dyDescent="0.2">
      <c r="A190" s="61"/>
      <c r="B190" s="44" t="s">
        <v>14</v>
      </c>
      <c r="C190" s="5">
        <v>1</v>
      </c>
      <c r="D190" s="5"/>
      <c r="E190" s="15">
        <v>500</v>
      </c>
      <c r="F190" s="16">
        <v>2.1</v>
      </c>
      <c r="G190" s="5">
        <f t="shared" si="6"/>
        <v>497.9</v>
      </c>
      <c r="H190" s="5">
        <f t="shared" si="7"/>
        <v>0.4217714400482025</v>
      </c>
    </row>
    <row r="191" spans="1:8" x14ac:dyDescent="0.2">
      <c r="A191" s="61"/>
      <c r="B191" s="44" t="s">
        <v>14</v>
      </c>
      <c r="C191" s="5">
        <v>2</v>
      </c>
      <c r="D191" s="5"/>
      <c r="E191" s="15">
        <v>455</v>
      </c>
      <c r="F191" s="16">
        <v>1.4</v>
      </c>
      <c r="G191" s="5">
        <f t="shared" si="6"/>
        <v>453.6</v>
      </c>
      <c r="H191" s="5">
        <f t="shared" si="7"/>
        <v>0.30864197530864196</v>
      </c>
    </row>
    <row r="192" spans="1:8" x14ac:dyDescent="0.2">
      <c r="A192" s="61"/>
      <c r="B192" s="44" t="s">
        <v>14</v>
      </c>
      <c r="C192" s="5">
        <v>3</v>
      </c>
      <c r="D192" s="5"/>
      <c r="E192" s="15">
        <v>686</v>
      </c>
      <c r="F192" s="16">
        <v>1.5</v>
      </c>
      <c r="G192" s="5">
        <f t="shared" si="6"/>
        <v>684.5</v>
      </c>
      <c r="H192" s="5">
        <f t="shared" si="7"/>
        <v>0.21913805697589481</v>
      </c>
    </row>
    <row r="193" spans="1:8" x14ac:dyDescent="0.2">
      <c r="A193" s="61"/>
      <c r="B193" s="44" t="s">
        <v>14</v>
      </c>
      <c r="C193" s="5">
        <v>4</v>
      </c>
      <c r="D193" s="5"/>
      <c r="E193" s="15">
        <v>450</v>
      </c>
      <c r="F193" s="16">
        <v>1.3</v>
      </c>
      <c r="G193" s="5">
        <f t="shared" si="6"/>
        <v>448.7</v>
      </c>
      <c r="H193" s="5">
        <f t="shared" si="7"/>
        <v>0.28972587474927569</v>
      </c>
    </row>
    <row r="194" spans="1:8" ht="15.75" thickBot="1" x14ac:dyDescent="0.25">
      <c r="A194" s="61"/>
      <c r="B194" s="44" t="s">
        <v>14</v>
      </c>
      <c r="C194" s="5">
        <v>5</v>
      </c>
      <c r="D194" s="5"/>
      <c r="E194" s="17">
        <v>330</v>
      </c>
      <c r="F194" s="18">
        <v>0.8</v>
      </c>
      <c r="G194" s="5">
        <f t="shared" si="6"/>
        <v>329.2</v>
      </c>
      <c r="H194" s="5">
        <f t="shared" si="7"/>
        <v>0.24301336573511545</v>
      </c>
    </row>
  </sheetData>
  <mergeCells count="13">
    <mergeCell ref="A2:H9"/>
    <mergeCell ref="A180:A194"/>
    <mergeCell ref="A150:A164"/>
    <mergeCell ref="A165:A179"/>
    <mergeCell ref="A120:A134"/>
    <mergeCell ref="A135:A149"/>
    <mergeCell ref="A105:A119"/>
    <mergeCell ref="A75:A89"/>
    <mergeCell ref="A90:A104"/>
    <mergeCell ref="A45:A59"/>
    <mergeCell ref="A60:A74"/>
    <mergeCell ref="A15:A29"/>
    <mergeCell ref="A30:A4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24"/>
  <sheetViews>
    <sheetView workbookViewId="0">
      <selection activeCell="B33" sqref="B33"/>
    </sheetView>
  </sheetViews>
  <sheetFormatPr defaultRowHeight="15" x14ac:dyDescent="0.25"/>
  <cols>
    <col min="1" max="1" width="13.140625" customWidth="1"/>
    <col min="2" max="2" width="53.140625" bestFit="1" customWidth="1"/>
    <col min="16" max="16" width="13.140625" bestFit="1" customWidth="1"/>
    <col min="17" max="17" width="54.140625" bestFit="1" customWidth="1"/>
  </cols>
  <sheetData>
    <row r="1" spans="1:17" x14ac:dyDescent="0.25">
      <c r="A1" s="65" t="s">
        <v>31</v>
      </c>
      <c r="B1" s="65"/>
      <c r="C1" s="65"/>
      <c r="D1" s="65"/>
      <c r="E1" s="65"/>
      <c r="F1" s="65"/>
      <c r="G1" s="65"/>
      <c r="H1" s="65"/>
      <c r="I1" s="65"/>
      <c r="J1" s="65"/>
      <c r="K1" s="65"/>
      <c r="L1" s="65"/>
      <c r="M1" s="65"/>
      <c r="N1" s="65"/>
      <c r="O1" s="65"/>
      <c r="P1" s="65"/>
    </row>
    <row r="2" spans="1:17" x14ac:dyDescent="0.25">
      <c r="A2" s="65"/>
      <c r="B2" s="65"/>
      <c r="C2" s="65"/>
      <c r="D2" s="65"/>
      <c r="E2" s="65"/>
      <c r="F2" s="65"/>
      <c r="G2" s="65"/>
      <c r="H2" s="65"/>
      <c r="I2" s="65"/>
      <c r="J2" s="65"/>
      <c r="K2" s="65"/>
      <c r="L2" s="65"/>
      <c r="M2" s="65"/>
      <c r="N2" s="65"/>
      <c r="O2" s="65"/>
      <c r="P2" s="65"/>
    </row>
    <row r="3" spans="1:17" ht="15.75" customHeight="1" x14ac:dyDescent="0.3">
      <c r="A3" s="10" t="s">
        <v>20</v>
      </c>
      <c r="B3" s="2"/>
      <c r="C3" s="2"/>
    </row>
    <row r="4" spans="1:17" ht="15.75" customHeight="1" x14ac:dyDescent="0.25">
      <c r="A4" s="66" t="s">
        <v>39</v>
      </c>
      <c r="B4" s="67"/>
      <c r="C4" s="67"/>
      <c r="D4" s="67"/>
      <c r="E4" s="67"/>
      <c r="F4" s="67"/>
      <c r="G4" s="67"/>
      <c r="H4" s="67"/>
      <c r="I4" s="67"/>
      <c r="J4" s="67"/>
      <c r="K4" s="67"/>
      <c r="L4" s="67"/>
      <c r="M4" s="67"/>
      <c r="N4" s="67"/>
      <c r="O4" s="67"/>
    </row>
    <row r="5" spans="1:17" ht="15.75" customHeight="1" x14ac:dyDescent="0.25">
      <c r="A5" s="66"/>
      <c r="B5" s="67"/>
      <c r="C5" s="67"/>
      <c r="D5" s="67"/>
      <c r="E5" s="67"/>
      <c r="F5" s="67"/>
      <c r="G5" s="67"/>
      <c r="H5" s="67"/>
      <c r="I5" s="67"/>
      <c r="J5" s="67"/>
      <c r="K5" s="67"/>
      <c r="L5" s="67"/>
      <c r="M5" s="67"/>
      <c r="N5" s="67"/>
      <c r="O5" s="67"/>
    </row>
    <row r="6" spans="1:17" ht="15.75" x14ac:dyDescent="0.25">
      <c r="A6" s="2"/>
      <c r="B6" s="2"/>
      <c r="C6" s="2"/>
    </row>
    <row r="7" spans="1:17" ht="15.75" x14ac:dyDescent="0.25">
      <c r="C7" s="2"/>
    </row>
    <row r="8" spans="1:17" ht="15.75" x14ac:dyDescent="0.25">
      <c r="C8" s="2"/>
      <c r="P8" s="33" t="s">
        <v>21</v>
      </c>
      <c r="Q8" t="s">
        <v>72</v>
      </c>
    </row>
    <row r="9" spans="1:17" ht="15.75" x14ac:dyDescent="0.25">
      <c r="A9" s="7" t="s">
        <v>0</v>
      </c>
      <c r="B9" s="1" t="s">
        <v>70</v>
      </c>
      <c r="C9" s="2"/>
      <c r="P9" s="24" t="s">
        <v>2</v>
      </c>
      <c r="Q9" s="23">
        <v>0.43238993710691825</v>
      </c>
    </row>
    <row r="10" spans="1:17" ht="15.75" x14ac:dyDescent="0.25">
      <c r="A10" s="8" t="s">
        <v>2</v>
      </c>
      <c r="B10" s="9">
        <v>0.43238993710691825</v>
      </c>
      <c r="C10" s="2"/>
      <c r="P10" s="24" t="s">
        <v>3</v>
      </c>
      <c r="Q10" s="23">
        <v>4.875998318621269</v>
      </c>
    </row>
    <row r="11" spans="1:17" ht="15.75" x14ac:dyDescent="0.25">
      <c r="A11" s="8" t="s">
        <v>3</v>
      </c>
      <c r="B11" s="9">
        <v>4.875998318621269</v>
      </c>
      <c r="C11" s="2"/>
      <c r="P11" s="24" t="s">
        <v>4</v>
      </c>
      <c r="Q11" s="23">
        <v>5.285323225942304</v>
      </c>
    </row>
    <row r="12" spans="1:17" ht="15.75" x14ac:dyDescent="0.25">
      <c r="A12" s="8" t="s">
        <v>4</v>
      </c>
      <c r="B12" s="9">
        <v>5.285323225942304</v>
      </c>
      <c r="C12" s="2"/>
      <c r="P12" s="24" t="s">
        <v>5</v>
      </c>
      <c r="Q12" s="23">
        <v>5.7753331922995557</v>
      </c>
    </row>
    <row r="13" spans="1:17" ht="15.75" x14ac:dyDescent="0.25">
      <c r="A13" s="8" t="s">
        <v>5</v>
      </c>
      <c r="B13" s="9">
        <v>5.7753331922995557</v>
      </c>
      <c r="C13" s="2"/>
      <c r="P13" s="24" t="s">
        <v>6</v>
      </c>
      <c r="Q13" s="23">
        <v>2.5010250102501024</v>
      </c>
    </row>
    <row r="14" spans="1:17" ht="15.75" x14ac:dyDescent="0.25">
      <c r="A14" s="8" t="s">
        <v>6</v>
      </c>
      <c r="B14" s="9">
        <v>2.5010250102501024</v>
      </c>
      <c r="C14" s="2"/>
      <c r="P14" s="24" t="s">
        <v>8</v>
      </c>
      <c r="Q14" s="23">
        <v>0.44194455604660504</v>
      </c>
    </row>
    <row r="15" spans="1:17" ht="15.75" x14ac:dyDescent="0.25">
      <c r="A15" s="8" t="s">
        <v>8</v>
      </c>
      <c r="B15" s="9">
        <v>0.44194455604660504</v>
      </c>
      <c r="C15" s="2"/>
      <c r="P15" s="24" t="s">
        <v>7</v>
      </c>
      <c r="Q15" s="23">
        <v>0.44194455604660504</v>
      </c>
    </row>
    <row r="16" spans="1:17" ht="15.75" x14ac:dyDescent="0.25">
      <c r="A16" s="8" t="s">
        <v>7</v>
      </c>
      <c r="B16" s="9">
        <v>0.44194455604660504</v>
      </c>
      <c r="C16" s="2"/>
      <c r="P16" s="24" t="s">
        <v>9</v>
      </c>
      <c r="Q16" s="23">
        <v>0.44194455604660504</v>
      </c>
    </row>
    <row r="17" spans="1:17" ht="15.75" x14ac:dyDescent="0.25">
      <c r="A17" s="8" t="s">
        <v>9</v>
      </c>
      <c r="B17" s="9">
        <v>0.44194455604660504</v>
      </c>
      <c r="C17" s="2"/>
      <c r="P17" s="24" t="s">
        <v>10</v>
      </c>
      <c r="Q17" s="23">
        <v>0.44194455604660504</v>
      </c>
    </row>
    <row r="18" spans="1:17" ht="15.75" x14ac:dyDescent="0.25">
      <c r="A18" s="8" t="s">
        <v>10</v>
      </c>
      <c r="B18" s="9">
        <v>0.44194455604660504</v>
      </c>
      <c r="C18" s="2"/>
      <c r="P18" s="24" t="s">
        <v>11</v>
      </c>
      <c r="Q18" s="23">
        <v>0.44194455604660504</v>
      </c>
    </row>
    <row r="19" spans="1:17" ht="15.75" x14ac:dyDescent="0.25">
      <c r="A19" s="8" t="s">
        <v>11</v>
      </c>
      <c r="B19" s="9">
        <v>0.44194455604660504</v>
      </c>
      <c r="C19" s="2"/>
      <c r="P19" s="24" t="s">
        <v>12</v>
      </c>
      <c r="Q19" s="23">
        <v>0.44194455604660504</v>
      </c>
    </row>
    <row r="20" spans="1:17" ht="15.75" x14ac:dyDescent="0.25">
      <c r="A20" s="8" t="s">
        <v>12</v>
      </c>
      <c r="B20" s="9">
        <v>0.44194455604660504</v>
      </c>
      <c r="C20" s="2"/>
      <c r="P20" s="24" t="s">
        <v>13</v>
      </c>
      <c r="Q20" s="23">
        <v>0.44194455604660504</v>
      </c>
    </row>
    <row r="21" spans="1:17" ht="15.75" x14ac:dyDescent="0.25">
      <c r="A21" s="8" t="s">
        <v>13</v>
      </c>
      <c r="B21" s="9">
        <v>0.44194455604660504</v>
      </c>
      <c r="C21" s="2"/>
      <c r="P21" s="24" t="s">
        <v>23</v>
      </c>
      <c r="Q21" s="23">
        <v>21.963681576546374</v>
      </c>
    </row>
    <row r="22" spans="1:17" ht="15.75" x14ac:dyDescent="0.25">
      <c r="A22" s="8" t="s">
        <v>22</v>
      </c>
      <c r="B22" s="9">
        <v>0.86745310518969887</v>
      </c>
      <c r="C22" s="2"/>
    </row>
    <row r="23" spans="1:17" ht="15.75" x14ac:dyDescent="0.25">
      <c r="A23" s="8" t="s">
        <v>23</v>
      </c>
      <c r="B23" s="9">
        <v>0.93200195610740866</v>
      </c>
      <c r="C23" s="2"/>
    </row>
    <row r="24" spans="1:17" ht="15.75" x14ac:dyDescent="0.25">
      <c r="B24" s="2"/>
      <c r="C24" s="2"/>
    </row>
  </sheetData>
  <mergeCells count="2">
    <mergeCell ref="A1:P2"/>
    <mergeCell ref="A4:O5"/>
  </mergeCells>
  <pageMargins left="0.7" right="0.7" top="0.75" bottom="0.75" header="0.3" footer="0.3"/>
  <pageSetup orientation="portrait" horizontalDpi="1200" verticalDpi="1200"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Refresh">
                <anchor moveWithCells="1" sizeWithCells="1">
                  <from>
                    <xdr:col>2</xdr:col>
                    <xdr:colOff>9525</xdr:colOff>
                    <xdr:row>4</xdr:row>
                    <xdr:rowOff>161925</xdr:rowOff>
                  </from>
                  <to>
                    <xdr:col>5</xdr:col>
                    <xdr:colOff>371475</xdr:colOff>
                    <xdr:row>6</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8"/>
  <sheetViews>
    <sheetView tabSelected="1" workbookViewId="0">
      <selection activeCell="C21" sqref="C21"/>
    </sheetView>
  </sheetViews>
  <sheetFormatPr defaultRowHeight="15" x14ac:dyDescent="0.25"/>
  <cols>
    <col min="1" max="1" width="16.42578125" customWidth="1"/>
    <col min="2" max="2" width="61.140625" customWidth="1"/>
  </cols>
  <sheetData>
    <row r="1" spans="1:14" x14ac:dyDescent="0.25">
      <c r="A1" s="65" t="s">
        <v>36</v>
      </c>
      <c r="B1" s="65"/>
      <c r="C1" s="65"/>
      <c r="D1" s="65"/>
      <c r="E1" s="65"/>
      <c r="F1" s="65"/>
      <c r="G1" s="65"/>
      <c r="H1" s="65"/>
      <c r="I1" s="65"/>
      <c r="J1" s="65"/>
      <c r="K1" s="65"/>
      <c r="L1" s="65"/>
      <c r="M1" s="65"/>
      <c r="N1" s="65"/>
    </row>
    <row r="2" spans="1:14" x14ac:dyDescent="0.25">
      <c r="A2" s="65"/>
      <c r="B2" s="65"/>
      <c r="C2" s="65"/>
      <c r="D2" s="65"/>
      <c r="E2" s="65"/>
      <c r="F2" s="65"/>
      <c r="G2" s="65"/>
      <c r="H2" s="65"/>
      <c r="I2" s="65"/>
      <c r="J2" s="65"/>
      <c r="K2" s="65"/>
      <c r="L2" s="65"/>
      <c r="M2" s="65"/>
      <c r="N2" s="65"/>
    </row>
    <row r="3" spans="1:14" ht="20.25" x14ac:dyDescent="0.3">
      <c r="A3" s="10" t="s">
        <v>37</v>
      </c>
      <c r="B3" s="2"/>
    </row>
    <row r="4" spans="1:14" ht="39" customHeight="1" x14ac:dyDescent="0.25">
      <c r="A4" s="68" t="s">
        <v>38</v>
      </c>
      <c r="B4" s="69"/>
      <c r="C4" s="69"/>
      <c r="D4" s="69"/>
      <c r="E4" s="69"/>
      <c r="F4" s="69"/>
    </row>
    <row r="5" spans="1:14" x14ac:dyDescent="0.25">
      <c r="A5" s="68"/>
      <c r="B5" s="69"/>
      <c r="C5" s="69"/>
      <c r="D5" s="69"/>
      <c r="E5" s="69"/>
      <c r="F5" s="69"/>
    </row>
    <row r="10" spans="1:14" ht="18.75" x14ac:dyDescent="0.3">
      <c r="A10" s="45"/>
      <c r="B10" s="45"/>
    </row>
    <row r="11" spans="1:14" ht="18.75" x14ac:dyDescent="0.3">
      <c r="A11" s="45"/>
      <c r="B11" s="45"/>
    </row>
    <row r="12" spans="1:14" ht="18.75" x14ac:dyDescent="0.3">
      <c r="A12" s="46" t="s">
        <v>21</v>
      </c>
      <c r="B12" s="45" t="s">
        <v>70</v>
      </c>
    </row>
    <row r="13" spans="1:14" ht="18.75" x14ac:dyDescent="0.3">
      <c r="A13" s="47" t="s">
        <v>14</v>
      </c>
      <c r="B13" s="48">
        <v>0.43637874335491683</v>
      </c>
    </row>
    <row r="14" spans="1:14" ht="18.75" x14ac:dyDescent="0.3">
      <c r="A14" s="47" t="s">
        <v>16</v>
      </c>
      <c r="B14" s="48">
        <v>1.931766557094758</v>
      </c>
    </row>
    <row r="15" spans="1:14" ht="18.75" x14ac:dyDescent="0.3">
      <c r="A15" s="47" t="s">
        <v>15</v>
      </c>
      <c r="B15" s="48">
        <v>0.41931579858043438</v>
      </c>
    </row>
    <row r="16" spans="1:14" ht="18.75" x14ac:dyDescent="0.3">
      <c r="A16" s="47" t="s">
        <v>23</v>
      </c>
      <c r="B16" s="48">
        <v>0.93200195610740799</v>
      </c>
    </row>
    <row r="17" spans="1:2" ht="18.75" x14ac:dyDescent="0.3">
      <c r="A17" s="45"/>
      <c r="B17" s="45"/>
    </row>
    <row r="18" spans="1:2" ht="18.75" x14ac:dyDescent="0.3">
      <c r="A18" s="45"/>
      <c r="B18" s="45"/>
    </row>
  </sheetData>
  <mergeCells count="2">
    <mergeCell ref="A1:N2"/>
    <mergeCell ref="A4:F5"/>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Button4_Click">
                <anchor moveWithCells="1" sizeWithCells="1">
                  <from>
                    <xdr:col>1</xdr:col>
                    <xdr:colOff>123825</xdr:colOff>
                    <xdr:row>7</xdr:row>
                    <xdr:rowOff>123825</xdr:rowOff>
                  </from>
                  <to>
                    <xdr:col>1</xdr:col>
                    <xdr:colOff>4019550</xdr:colOff>
                    <xdr:row>9</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100"/>
  <sheetViews>
    <sheetView workbookViewId="0">
      <selection activeCell="H5" sqref="H5"/>
    </sheetView>
  </sheetViews>
  <sheetFormatPr defaultRowHeight="15" x14ac:dyDescent="0.2"/>
  <cols>
    <col min="1" max="2" width="9.140625" style="2"/>
    <col min="3" max="3" width="11.5703125" style="2" bestFit="1" customWidth="1"/>
    <col min="4" max="4" width="11" style="2" bestFit="1" customWidth="1"/>
    <col min="5" max="5" width="20.7109375" style="2" customWidth="1"/>
    <col min="6" max="13" width="9.140625" style="2"/>
    <col min="14" max="14" width="22" style="2" customWidth="1"/>
    <col min="15" max="16384" width="9.140625" style="2"/>
  </cols>
  <sheetData>
    <row r="1" spans="1:22" ht="20.25" x14ac:dyDescent="0.3">
      <c r="A1" s="10" t="s">
        <v>34</v>
      </c>
      <c r="M1" s="10" t="s">
        <v>35</v>
      </c>
    </row>
    <row r="2" spans="1:22" ht="15" customHeight="1" x14ac:dyDescent="0.2">
      <c r="A2" s="50" t="s">
        <v>30</v>
      </c>
      <c r="B2" s="50"/>
      <c r="C2" s="50"/>
      <c r="D2" s="50"/>
      <c r="E2" s="50"/>
      <c r="F2" s="50"/>
      <c r="G2" s="50"/>
      <c r="H2" s="50"/>
      <c r="I2" s="50"/>
      <c r="J2" s="50"/>
      <c r="M2" s="50" t="s">
        <v>32</v>
      </c>
      <c r="N2" s="50"/>
      <c r="O2" s="50"/>
      <c r="P2" s="50"/>
      <c r="Q2" s="50"/>
      <c r="R2" s="50"/>
      <c r="S2" s="50"/>
      <c r="T2" s="50"/>
      <c r="U2" s="50"/>
      <c r="V2" s="50"/>
    </row>
    <row r="3" spans="1:22" ht="18.75" customHeight="1" x14ac:dyDescent="0.2">
      <c r="A3" s="50"/>
      <c r="B3" s="50"/>
      <c r="C3" s="50"/>
      <c r="D3" s="50"/>
      <c r="E3" s="50"/>
      <c r="F3" s="50"/>
      <c r="G3" s="50"/>
      <c r="H3" s="50"/>
      <c r="I3" s="50"/>
      <c r="J3" s="50"/>
      <c r="M3" s="50"/>
      <c r="N3" s="50"/>
      <c r="O3" s="50"/>
      <c r="P3" s="50"/>
      <c r="Q3" s="50"/>
      <c r="R3" s="50"/>
      <c r="S3" s="50"/>
      <c r="T3" s="50"/>
      <c r="U3" s="50"/>
      <c r="V3" s="50"/>
    </row>
    <row r="4" spans="1:22" x14ac:dyDescent="0.2">
      <c r="A4" s="50"/>
      <c r="B4" s="50"/>
      <c r="C4" s="50"/>
      <c r="D4" s="50"/>
      <c r="E4" s="50"/>
      <c r="F4" s="50"/>
      <c r="G4" s="50"/>
      <c r="H4" s="50"/>
      <c r="I4" s="50"/>
      <c r="J4" s="50"/>
      <c r="M4" s="50"/>
      <c r="N4" s="50"/>
      <c r="O4" s="50"/>
      <c r="P4" s="50"/>
      <c r="Q4" s="50"/>
      <c r="R4" s="50"/>
      <c r="S4" s="50"/>
      <c r="T4" s="50"/>
      <c r="U4" s="50"/>
      <c r="V4" s="50"/>
    </row>
    <row r="5" spans="1:22" x14ac:dyDescent="0.2">
      <c r="A5" s="6" t="s">
        <v>25</v>
      </c>
      <c r="B5" s="6" t="s">
        <v>26</v>
      </c>
      <c r="C5" s="6" t="s">
        <v>27</v>
      </c>
      <c r="D5" s="6" t="s">
        <v>28</v>
      </c>
      <c r="E5" s="6" t="s">
        <v>29</v>
      </c>
      <c r="F5" s="6"/>
      <c r="M5" s="6" t="s">
        <v>33</v>
      </c>
      <c r="N5" s="6" t="s">
        <v>29</v>
      </c>
    </row>
    <row r="6" spans="1:22" x14ac:dyDescent="0.2">
      <c r="C6" s="2">
        <f>A6/0.0022046</f>
        <v>0</v>
      </c>
      <c r="D6" s="2">
        <f>B6/35274</f>
        <v>0</v>
      </c>
      <c r="E6" s="2">
        <f>C6+D6</f>
        <v>0</v>
      </c>
      <c r="N6" s="2">
        <f>M6*1000</f>
        <v>0</v>
      </c>
    </row>
    <row r="7" spans="1:22" x14ac:dyDescent="0.2">
      <c r="C7" s="2">
        <f t="shared" ref="C7:C70" si="0">A7/0.0022046</f>
        <v>0</v>
      </c>
      <c r="D7" s="2">
        <f t="shared" ref="D7:D70" si="1">B7/35274</f>
        <v>0</v>
      </c>
      <c r="E7" s="2">
        <f t="shared" ref="E7:E70" si="2">C7+D7</f>
        <v>0</v>
      </c>
      <c r="N7" s="2">
        <f t="shared" ref="N7:N70" si="3">M7*1000</f>
        <v>0</v>
      </c>
    </row>
    <row r="8" spans="1:22" x14ac:dyDescent="0.2">
      <c r="C8" s="2">
        <f t="shared" si="0"/>
        <v>0</v>
      </c>
      <c r="D8" s="2">
        <f t="shared" si="1"/>
        <v>0</v>
      </c>
      <c r="E8" s="2">
        <f t="shared" si="2"/>
        <v>0</v>
      </c>
      <c r="N8" s="2">
        <f t="shared" si="3"/>
        <v>0</v>
      </c>
    </row>
    <row r="9" spans="1:22" x14ac:dyDescent="0.2">
      <c r="C9" s="2">
        <f t="shared" si="0"/>
        <v>0</v>
      </c>
      <c r="D9" s="2">
        <f t="shared" si="1"/>
        <v>0</v>
      </c>
      <c r="E9" s="2">
        <f t="shared" si="2"/>
        <v>0</v>
      </c>
      <c r="N9" s="2">
        <f t="shared" si="3"/>
        <v>0</v>
      </c>
    </row>
    <row r="10" spans="1:22" x14ac:dyDescent="0.2">
      <c r="C10" s="2">
        <f t="shared" si="0"/>
        <v>0</v>
      </c>
      <c r="D10" s="2">
        <f t="shared" si="1"/>
        <v>0</v>
      </c>
      <c r="E10" s="2">
        <f t="shared" si="2"/>
        <v>0</v>
      </c>
      <c r="N10" s="2">
        <f t="shared" si="3"/>
        <v>0</v>
      </c>
    </row>
    <row r="11" spans="1:22" x14ac:dyDescent="0.2">
      <c r="C11" s="2">
        <f t="shared" si="0"/>
        <v>0</v>
      </c>
      <c r="D11" s="2">
        <f t="shared" si="1"/>
        <v>0</v>
      </c>
      <c r="E11" s="2">
        <f t="shared" si="2"/>
        <v>0</v>
      </c>
      <c r="N11" s="2">
        <f t="shared" si="3"/>
        <v>0</v>
      </c>
    </row>
    <row r="12" spans="1:22" x14ac:dyDescent="0.2">
      <c r="C12" s="2">
        <f t="shared" si="0"/>
        <v>0</v>
      </c>
      <c r="D12" s="2">
        <f t="shared" si="1"/>
        <v>0</v>
      </c>
      <c r="E12" s="2">
        <f t="shared" si="2"/>
        <v>0</v>
      </c>
      <c r="N12" s="2">
        <f t="shared" si="3"/>
        <v>0</v>
      </c>
    </row>
    <row r="13" spans="1:22" x14ac:dyDescent="0.2">
      <c r="C13" s="2">
        <f t="shared" si="0"/>
        <v>0</v>
      </c>
      <c r="D13" s="2">
        <f t="shared" si="1"/>
        <v>0</v>
      </c>
      <c r="E13" s="2">
        <f t="shared" si="2"/>
        <v>0</v>
      </c>
      <c r="N13" s="2">
        <f t="shared" si="3"/>
        <v>0</v>
      </c>
    </row>
    <row r="14" spans="1:22" x14ac:dyDescent="0.2">
      <c r="C14" s="2">
        <f t="shared" si="0"/>
        <v>0</v>
      </c>
      <c r="D14" s="2">
        <f t="shared" si="1"/>
        <v>0</v>
      </c>
      <c r="E14" s="2">
        <f t="shared" si="2"/>
        <v>0</v>
      </c>
      <c r="N14" s="2">
        <f t="shared" si="3"/>
        <v>0</v>
      </c>
    </row>
    <row r="15" spans="1:22" x14ac:dyDescent="0.2">
      <c r="C15" s="2">
        <f t="shared" si="0"/>
        <v>0</v>
      </c>
      <c r="D15" s="2">
        <f t="shared" si="1"/>
        <v>0</v>
      </c>
      <c r="E15" s="2">
        <f t="shared" si="2"/>
        <v>0</v>
      </c>
      <c r="N15" s="2">
        <f t="shared" si="3"/>
        <v>0</v>
      </c>
    </row>
    <row r="16" spans="1:22" x14ac:dyDescent="0.2">
      <c r="C16" s="2">
        <f t="shared" si="0"/>
        <v>0</v>
      </c>
      <c r="D16" s="2">
        <f t="shared" si="1"/>
        <v>0</v>
      </c>
      <c r="E16" s="2">
        <f t="shared" si="2"/>
        <v>0</v>
      </c>
      <c r="N16" s="2">
        <f t="shared" si="3"/>
        <v>0</v>
      </c>
    </row>
    <row r="17" spans="3:14" x14ac:dyDescent="0.2">
      <c r="C17" s="2">
        <f t="shared" si="0"/>
        <v>0</v>
      </c>
      <c r="D17" s="2">
        <f t="shared" si="1"/>
        <v>0</v>
      </c>
      <c r="E17" s="2">
        <f t="shared" si="2"/>
        <v>0</v>
      </c>
      <c r="N17" s="2">
        <f t="shared" si="3"/>
        <v>0</v>
      </c>
    </row>
    <row r="18" spans="3:14" x14ac:dyDescent="0.2">
      <c r="C18" s="2">
        <f t="shared" si="0"/>
        <v>0</v>
      </c>
      <c r="D18" s="2">
        <f t="shared" si="1"/>
        <v>0</v>
      </c>
      <c r="E18" s="2">
        <f t="shared" si="2"/>
        <v>0</v>
      </c>
      <c r="N18" s="2">
        <f t="shared" si="3"/>
        <v>0</v>
      </c>
    </row>
    <row r="19" spans="3:14" x14ac:dyDescent="0.2">
      <c r="C19" s="2">
        <f t="shared" si="0"/>
        <v>0</v>
      </c>
      <c r="D19" s="2">
        <f t="shared" si="1"/>
        <v>0</v>
      </c>
      <c r="E19" s="2">
        <f t="shared" si="2"/>
        <v>0</v>
      </c>
      <c r="N19" s="2">
        <f t="shared" si="3"/>
        <v>0</v>
      </c>
    </row>
    <row r="20" spans="3:14" x14ac:dyDescent="0.2">
      <c r="C20" s="2">
        <f t="shared" si="0"/>
        <v>0</v>
      </c>
      <c r="D20" s="2">
        <f t="shared" si="1"/>
        <v>0</v>
      </c>
      <c r="E20" s="2">
        <f t="shared" si="2"/>
        <v>0</v>
      </c>
      <c r="N20" s="2">
        <f t="shared" si="3"/>
        <v>0</v>
      </c>
    </row>
    <row r="21" spans="3:14" x14ac:dyDescent="0.2">
      <c r="C21" s="2">
        <f t="shared" si="0"/>
        <v>0</v>
      </c>
      <c r="D21" s="2">
        <f t="shared" si="1"/>
        <v>0</v>
      </c>
      <c r="E21" s="2">
        <f t="shared" si="2"/>
        <v>0</v>
      </c>
      <c r="N21" s="2">
        <f t="shared" si="3"/>
        <v>0</v>
      </c>
    </row>
    <row r="22" spans="3:14" x14ac:dyDescent="0.2">
      <c r="C22" s="2">
        <f t="shared" si="0"/>
        <v>0</v>
      </c>
      <c r="D22" s="2">
        <f t="shared" si="1"/>
        <v>0</v>
      </c>
      <c r="E22" s="2">
        <f t="shared" si="2"/>
        <v>0</v>
      </c>
      <c r="N22" s="2">
        <f t="shared" si="3"/>
        <v>0</v>
      </c>
    </row>
    <row r="23" spans="3:14" x14ac:dyDescent="0.2">
      <c r="C23" s="2">
        <f t="shared" si="0"/>
        <v>0</v>
      </c>
      <c r="D23" s="2">
        <f t="shared" si="1"/>
        <v>0</v>
      </c>
      <c r="E23" s="2">
        <f t="shared" si="2"/>
        <v>0</v>
      </c>
      <c r="N23" s="2">
        <f t="shared" si="3"/>
        <v>0</v>
      </c>
    </row>
    <row r="24" spans="3:14" x14ac:dyDescent="0.2">
      <c r="C24" s="2">
        <f t="shared" si="0"/>
        <v>0</v>
      </c>
      <c r="D24" s="2">
        <f t="shared" si="1"/>
        <v>0</v>
      </c>
      <c r="E24" s="2">
        <f t="shared" si="2"/>
        <v>0</v>
      </c>
      <c r="N24" s="2">
        <f t="shared" si="3"/>
        <v>0</v>
      </c>
    </row>
    <row r="25" spans="3:14" x14ac:dyDescent="0.2">
      <c r="C25" s="2">
        <f t="shared" si="0"/>
        <v>0</v>
      </c>
      <c r="D25" s="2">
        <f t="shared" si="1"/>
        <v>0</v>
      </c>
      <c r="E25" s="2">
        <f t="shared" si="2"/>
        <v>0</v>
      </c>
      <c r="N25" s="2">
        <f t="shared" si="3"/>
        <v>0</v>
      </c>
    </row>
    <row r="26" spans="3:14" x14ac:dyDescent="0.2">
      <c r="C26" s="2">
        <f t="shared" si="0"/>
        <v>0</v>
      </c>
      <c r="D26" s="2">
        <f t="shared" si="1"/>
        <v>0</v>
      </c>
      <c r="E26" s="2">
        <f t="shared" si="2"/>
        <v>0</v>
      </c>
      <c r="N26" s="2">
        <f t="shared" si="3"/>
        <v>0</v>
      </c>
    </row>
    <row r="27" spans="3:14" x14ac:dyDescent="0.2">
      <c r="C27" s="2">
        <f t="shared" si="0"/>
        <v>0</v>
      </c>
      <c r="D27" s="2">
        <f t="shared" si="1"/>
        <v>0</v>
      </c>
      <c r="E27" s="2">
        <f t="shared" si="2"/>
        <v>0</v>
      </c>
      <c r="N27" s="2">
        <f t="shared" si="3"/>
        <v>0</v>
      </c>
    </row>
    <row r="28" spans="3:14" x14ac:dyDescent="0.2">
      <c r="C28" s="2">
        <f t="shared" si="0"/>
        <v>0</v>
      </c>
      <c r="D28" s="2">
        <f t="shared" si="1"/>
        <v>0</v>
      </c>
      <c r="E28" s="2">
        <f t="shared" si="2"/>
        <v>0</v>
      </c>
      <c r="N28" s="2">
        <f t="shared" si="3"/>
        <v>0</v>
      </c>
    </row>
    <row r="29" spans="3:14" x14ac:dyDescent="0.2">
      <c r="C29" s="2">
        <f t="shared" si="0"/>
        <v>0</v>
      </c>
      <c r="D29" s="2">
        <f t="shared" si="1"/>
        <v>0</v>
      </c>
      <c r="E29" s="2">
        <f t="shared" si="2"/>
        <v>0</v>
      </c>
      <c r="N29" s="2">
        <f t="shared" si="3"/>
        <v>0</v>
      </c>
    </row>
    <row r="30" spans="3:14" x14ac:dyDescent="0.2">
      <c r="C30" s="2">
        <f t="shared" si="0"/>
        <v>0</v>
      </c>
      <c r="D30" s="2">
        <f t="shared" si="1"/>
        <v>0</v>
      </c>
      <c r="E30" s="2">
        <f t="shared" si="2"/>
        <v>0</v>
      </c>
      <c r="N30" s="2">
        <f t="shared" si="3"/>
        <v>0</v>
      </c>
    </row>
    <row r="31" spans="3:14" x14ac:dyDescent="0.2">
      <c r="C31" s="2">
        <f t="shared" si="0"/>
        <v>0</v>
      </c>
      <c r="D31" s="2">
        <f t="shared" si="1"/>
        <v>0</v>
      </c>
      <c r="E31" s="2">
        <f t="shared" si="2"/>
        <v>0</v>
      </c>
      <c r="N31" s="2">
        <f t="shared" si="3"/>
        <v>0</v>
      </c>
    </row>
    <row r="32" spans="3:14" x14ac:dyDescent="0.2">
      <c r="C32" s="2">
        <f t="shared" si="0"/>
        <v>0</v>
      </c>
      <c r="D32" s="2">
        <f t="shared" si="1"/>
        <v>0</v>
      </c>
      <c r="E32" s="2">
        <f t="shared" si="2"/>
        <v>0</v>
      </c>
      <c r="N32" s="2">
        <f t="shared" si="3"/>
        <v>0</v>
      </c>
    </row>
    <row r="33" spans="3:14" x14ac:dyDescent="0.2">
      <c r="C33" s="2">
        <f t="shared" si="0"/>
        <v>0</v>
      </c>
      <c r="D33" s="2">
        <f t="shared" si="1"/>
        <v>0</v>
      </c>
      <c r="E33" s="2">
        <f t="shared" si="2"/>
        <v>0</v>
      </c>
      <c r="N33" s="2">
        <f t="shared" si="3"/>
        <v>0</v>
      </c>
    </row>
    <row r="34" spans="3:14" x14ac:dyDescent="0.2">
      <c r="C34" s="2">
        <f t="shared" si="0"/>
        <v>0</v>
      </c>
      <c r="D34" s="2">
        <f t="shared" si="1"/>
        <v>0</v>
      </c>
      <c r="E34" s="2">
        <f t="shared" si="2"/>
        <v>0</v>
      </c>
      <c r="N34" s="2">
        <f t="shared" si="3"/>
        <v>0</v>
      </c>
    </row>
    <row r="35" spans="3:14" x14ac:dyDescent="0.2">
      <c r="C35" s="2">
        <f t="shared" si="0"/>
        <v>0</v>
      </c>
      <c r="D35" s="2">
        <f t="shared" si="1"/>
        <v>0</v>
      </c>
      <c r="E35" s="2">
        <f t="shared" si="2"/>
        <v>0</v>
      </c>
      <c r="N35" s="2">
        <f t="shared" si="3"/>
        <v>0</v>
      </c>
    </row>
    <row r="36" spans="3:14" x14ac:dyDescent="0.2">
      <c r="C36" s="2">
        <f t="shared" si="0"/>
        <v>0</v>
      </c>
      <c r="D36" s="2">
        <f t="shared" si="1"/>
        <v>0</v>
      </c>
      <c r="E36" s="2">
        <f t="shared" si="2"/>
        <v>0</v>
      </c>
      <c r="N36" s="2">
        <f t="shared" si="3"/>
        <v>0</v>
      </c>
    </row>
    <row r="37" spans="3:14" x14ac:dyDescent="0.2">
      <c r="C37" s="2">
        <f t="shared" si="0"/>
        <v>0</v>
      </c>
      <c r="D37" s="2">
        <f t="shared" si="1"/>
        <v>0</v>
      </c>
      <c r="E37" s="2">
        <f t="shared" si="2"/>
        <v>0</v>
      </c>
      <c r="N37" s="2">
        <f t="shared" si="3"/>
        <v>0</v>
      </c>
    </row>
    <row r="38" spans="3:14" x14ac:dyDescent="0.2">
      <c r="C38" s="2">
        <f t="shared" si="0"/>
        <v>0</v>
      </c>
      <c r="D38" s="2">
        <f t="shared" si="1"/>
        <v>0</v>
      </c>
      <c r="E38" s="2">
        <f t="shared" si="2"/>
        <v>0</v>
      </c>
      <c r="N38" s="2">
        <f t="shared" si="3"/>
        <v>0</v>
      </c>
    </row>
    <row r="39" spans="3:14" x14ac:dyDescent="0.2">
      <c r="C39" s="2">
        <f t="shared" si="0"/>
        <v>0</v>
      </c>
      <c r="D39" s="2">
        <f t="shared" si="1"/>
        <v>0</v>
      </c>
      <c r="E39" s="2">
        <f t="shared" si="2"/>
        <v>0</v>
      </c>
      <c r="N39" s="2">
        <f t="shared" si="3"/>
        <v>0</v>
      </c>
    </row>
    <row r="40" spans="3:14" x14ac:dyDescent="0.2">
      <c r="C40" s="2">
        <f t="shared" si="0"/>
        <v>0</v>
      </c>
      <c r="D40" s="2">
        <f t="shared" si="1"/>
        <v>0</v>
      </c>
      <c r="E40" s="2">
        <f t="shared" si="2"/>
        <v>0</v>
      </c>
      <c r="N40" s="2">
        <f t="shared" si="3"/>
        <v>0</v>
      </c>
    </row>
    <row r="41" spans="3:14" x14ac:dyDescent="0.2">
      <c r="C41" s="2">
        <f t="shared" si="0"/>
        <v>0</v>
      </c>
      <c r="D41" s="2">
        <f t="shared" si="1"/>
        <v>0</v>
      </c>
      <c r="E41" s="2">
        <f t="shared" si="2"/>
        <v>0</v>
      </c>
      <c r="N41" s="2">
        <f t="shared" si="3"/>
        <v>0</v>
      </c>
    </row>
    <row r="42" spans="3:14" x14ac:dyDescent="0.2">
      <c r="C42" s="2">
        <f t="shared" si="0"/>
        <v>0</v>
      </c>
      <c r="D42" s="2">
        <f t="shared" si="1"/>
        <v>0</v>
      </c>
      <c r="E42" s="2">
        <f t="shared" si="2"/>
        <v>0</v>
      </c>
      <c r="N42" s="2">
        <f t="shared" si="3"/>
        <v>0</v>
      </c>
    </row>
    <row r="43" spans="3:14" x14ac:dyDescent="0.2">
      <c r="C43" s="2">
        <f t="shared" si="0"/>
        <v>0</v>
      </c>
      <c r="D43" s="2">
        <f t="shared" si="1"/>
        <v>0</v>
      </c>
      <c r="E43" s="2">
        <f t="shared" si="2"/>
        <v>0</v>
      </c>
      <c r="N43" s="2">
        <f t="shared" si="3"/>
        <v>0</v>
      </c>
    </row>
    <row r="44" spans="3:14" x14ac:dyDescent="0.2">
      <c r="C44" s="2">
        <f t="shared" si="0"/>
        <v>0</v>
      </c>
      <c r="D44" s="2">
        <f t="shared" si="1"/>
        <v>0</v>
      </c>
      <c r="E44" s="2">
        <f t="shared" si="2"/>
        <v>0</v>
      </c>
      <c r="N44" s="2">
        <f t="shared" si="3"/>
        <v>0</v>
      </c>
    </row>
    <row r="45" spans="3:14" x14ac:dyDescent="0.2">
      <c r="C45" s="2">
        <f t="shared" si="0"/>
        <v>0</v>
      </c>
      <c r="D45" s="2">
        <f t="shared" si="1"/>
        <v>0</v>
      </c>
      <c r="E45" s="2">
        <f t="shared" si="2"/>
        <v>0</v>
      </c>
      <c r="N45" s="2">
        <f t="shared" si="3"/>
        <v>0</v>
      </c>
    </row>
    <row r="46" spans="3:14" x14ac:dyDescent="0.2">
      <c r="C46" s="2">
        <f t="shared" si="0"/>
        <v>0</v>
      </c>
      <c r="D46" s="2">
        <f t="shared" si="1"/>
        <v>0</v>
      </c>
      <c r="E46" s="2">
        <f t="shared" si="2"/>
        <v>0</v>
      </c>
      <c r="N46" s="2">
        <f t="shared" si="3"/>
        <v>0</v>
      </c>
    </row>
    <row r="47" spans="3:14" x14ac:dyDescent="0.2">
      <c r="C47" s="2">
        <f t="shared" si="0"/>
        <v>0</v>
      </c>
      <c r="D47" s="2">
        <f t="shared" si="1"/>
        <v>0</v>
      </c>
      <c r="E47" s="2">
        <f t="shared" si="2"/>
        <v>0</v>
      </c>
      <c r="N47" s="2">
        <f t="shared" si="3"/>
        <v>0</v>
      </c>
    </row>
    <row r="48" spans="3:14" x14ac:dyDescent="0.2">
      <c r="C48" s="2">
        <f t="shared" si="0"/>
        <v>0</v>
      </c>
      <c r="D48" s="2">
        <f t="shared" si="1"/>
        <v>0</v>
      </c>
      <c r="E48" s="2">
        <f t="shared" si="2"/>
        <v>0</v>
      </c>
      <c r="N48" s="2">
        <f t="shared" si="3"/>
        <v>0</v>
      </c>
    </row>
    <row r="49" spans="3:14" x14ac:dyDescent="0.2">
      <c r="C49" s="2">
        <f t="shared" si="0"/>
        <v>0</v>
      </c>
      <c r="D49" s="2">
        <f t="shared" si="1"/>
        <v>0</v>
      </c>
      <c r="E49" s="2">
        <f t="shared" si="2"/>
        <v>0</v>
      </c>
      <c r="N49" s="2">
        <f t="shared" si="3"/>
        <v>0</v>
      </c>
    </row>
    <row r="50" spans="3:14" x14ac:dyDescent="0.2">
      <c r="C50" s="2">
        <f t="shared" si="0"/>
        <v>0</v>
      </c>
      <c r="D50" s="2">
        <f t="shared" si="1"/>
        <v>0</v>
      </c>
      <c r="E50" s="2">
        <f t="shared" si="2"/>
        <v>0</v>
      </c>
      <c r="N50" s="2">
        <f t="shared" si="3"/>
        <v>0</v>
      </c>
    </row>
    <row r="51" spans="3:14" x14ac:dyDescent="0.2">
      <c r="C51" s="2">
        <f t="shared" si="0"/>
        <v>0</v>
      </c>
      <c r="D51" s="2">
        <f t="shared" si="1"/>
        <v>0</v>
      </c>
      <c r="E51" s="2">
        <f t="shared" si="2"/>
        <v>0</v>
      </c>
      <c r="N51" s="2">
        <f t="shared" si="3"/>
        <v>0</v>
      </c>
    </row>
    <row r="52" spans="3:14" x14ac:dyDescent="0.2">
      <c r="C52" s="2">
        <f t="shared" si="0"/>
        <v>0</v>
      </c>
      <c r="D52" s="2">
        <f t="shared" si="1"/>
        <v>0</v>
      </c>
      <c r="E52" s="2">
        <f t="shared" si="2"/>
        <v>0</v>
      </c>
      <c r="N52" s="2">
        <f t="shared" si="3"/>
        <v>0</v>
      </c>
    </row>
    <row r="53" spans="3:14" x14ac:dyDescent="0.2">
      <c r="C53" s="2">
        <f t="shared" si="0"/>
        <v>0</v>
      </c>
      <c r="D53" s="2">
        <f t="shared" si="1"/>
        <v>0</v>
      </c>
      <c r="E53" s="2">
        <f t="shared" si="2"/>
        <v>0</v>
      </c>
      <c r="N53" s="2">
        <f t="shared" si="3"/>
        <v>0</v>
      </c>
    </row>
    <row r="54" spans="3:14" x14ac:dyDescent="0.2">
      <c r="C54" s="2">
        <f t="shared" si="0"/>
        <v>0</v>
      </c>
      <c r="D54" s="2">
        <f t="shared" si="1"/>
        <v>0</v>
      </c>
      <c r="E54" s="2">
        <f t="shared" si="2"/>
        <v>0</v>
      </c>
      <c r="N54" s="2">
        <f t="shared" si="3"/>
        <v>0</v>
      </c>
    </row>
    <row r="55" spans="3:14" x14ac:dyDescent="0.2">
      <c r="C55" s="2">
        <f t="shared" si="0"/>
        <v>0</v>
      </c>
      <c r="D55" s="2">
        <f t="shared" si="1"/>
        <v>0</v>
      </c>
      <c r="E55" s="2">
        <f t="shared" si="2"/>
        <v>0</v>
      </c>
      <c r="N55" s="2">
        <f t="shared" si="3"/>
        <v>0</v>
      </c>
    </row>
    <row r="56" spans="3:14" x14ac:dyDescent="0.2">
      <c r="C56" s="2">
        <f t="shared" si="0"/>
        <v>0</v>
      </c>
      <c r="D56" s="2">
        <f t="shared" si="1"/>
        <v>0</v>
      </c>
      <c r="E56" s="2">
        <f t="shared" si="2"/>
        <v>0</v>
      </c>
      <c r="N56" s="2">
        <f t="shared" si="3"/>
        <v>0</v>
      </c>
    </row>
    <row r="57" spans="3:14" x14ac:dyDescent="0.2">
      <c r="C57" s="2">
        <f t="shared" si="0"/>
        <v>0</v>
      </c>
      <c r="D57" s="2">
        <f t="shared" si="1"/>
        <v>0</v>
      </c>
      <c r="E57" s="2">
        <f t="shared" si="2"/>
        <v>0</v>
      </c>
      <c r="N57" s="2">
        <f t="shared" si="3"/>
        <v>0</v>
      </c>
    </row>
    <row r="58" spans="3:14" x14ac:dyDescent="0.2">
      <c r="C58" s="2">
        <f t="shared" si="0"/>
        <v>0</v>
      </c>
      <c r="D58" s="2">
        <f t="shared" si="1"/>
        <v>0</v>
      </c>
      <c r="E58" s="2">
        <f t="shared" si="2"/>
        <v>0</v>
      </c>
      <c r="N58" s="2">
        <f t="shared" si="3"/>
        <v>0</v>
      </c>
    </row>
    <row r="59" spans="3:14" x14ac:dyDescent="0.2">
      <c r="C59" s="2">
        <f t="shared" si="0"/>
        <v>0</v>
      </c>
      <c r="D59" s="2">
        <f t="shared" si="1"/>
        <v>0</v>
      </c>
      <c r="E59" s="2">
        <f t="shared" si="2"/>
        <v>0</v>
      </c>
      <c r="N59" s="2">
        <f t="shared" si="3"/>
        <v>0</v>
      </c>
    </row>
    <row r="60" spans="3:14" x14ac:dyDescent="0.2">
      <c r="C60" s="2">
        <f t="shared" si="0"/>
        <v>0</v>
      </c>
      <c r="D60" s="2">
        <f t="shared" si="1"/>
        <v>0</v>
      </c>
      <c r="E60" s="2">
        <f t="shared" si="2"/>
        <v>0</v>
      </c>
      <c r="N60" s="2">
        <f t="shared" si="3"/>
        <v>0</v>
      </c>
    </row>
    <row r="61" spans="3:14" x14ac:dyDescent="0.2">
      <c r="C61" s="2">
        <f t="shared" si="0"/>
        <v>0</v>
      </c>
      <c r="D61" s="2">
        <f t="shared" si="1"/>
        <v>0</v>
      </c>
      <c r="E61" s="2">
        <f t="shared" si="2"/>
        <v>0</v>
      </c>
      <c r="N61" s="2">
        <f t="shared" si="3"/>
        <v>0</v>
      </c>
    </row>
    <row r="62" spans="3:14" x14ac:dyDescent="0.2">
      <c r="C62" s="2">
        <f t="shared" si="0"/>
        <v>0</v>
      </c>
      <c r="D62" s="2">
        <f t="shared" si="1"/>
        <v>0</v>
      </c>
      <c r="E62" s="2">
        <f t="shared" si="2"/>
        <v>0</v>
      </c>
      <c r="N62" s="2">
        <f t="shared" si="3"/>
        <v>0</v>
      </c>
    </row>
    <row r="63" spans="3:14" x14ac:dyDescent="0.2">
      <c r="C63" s="2">
        <f t="shared" si="0"/>
        <v>0</v>
      </c>
      <c r="D63" s="2">
        <f t="shared" si="1"/>
        <v>0</v>
      </c>
      <c r="E63" s="2">
        <f t="shared" si="2"/>
        <v>0</v>
      </c>
      <c r="N63" s="2">
        <f t="shared" si="3"/>
        <v>0</v>
      </c>
    </row>
    <row r="64" spans="3:14" x14ac:dyDescent="0.2">
      <c r="C64" s="2">
        <f t="shared" si="0"/>
        <v>0</v>
      </c>
      <c r="D64" s="2">
        <f t="shared" si="1"/>
        <v>0</v>
      </c>
      <c r="E64" s="2">
        <f t="shared" si="2"/>
        <v>0</v>
      </c>
      <c r="N64" s="2">
        <f t="shared" si="3"/>
        <v>0</v>
      </c>
    </row>
    <row r="65" spans="3:14" x14ac:dyDescent="0.2">
      <c r="C65" s="2">
        <f t="shared" si="0"/>
        <v>0</v>
      </c>
      <c r="D65" s="2">
        <f t="shared" si="1"/>
        <v>0</v>
      </c>
      <c r="E65" s="2">
        <f t="shared" si="2"/>
        <v>0</v>
      </c>
      <c r="N65" s="2">
        <f t="shared" si="3"/>
        <v>0</v>
      </c>
    </row>
    <row r="66" spans="3:14" x14ac:dyDescent="0.2">
      <c r="C66" s="2">
        <f t="shared" si="0"/>
        <v>0</v>
      </c>
      <c r="D66" s="2">
        <f t="shared" si="1"/>
        <v>0</v>
      </c>
      <c r="E66" s="2">
        <f t="shared" si="2"/>
        <v>0</v>
      </c>
      <c r="N66" s="2">
        <f t="shared" si="3"/>
        <v>0</v>
      </c>
    </row>
    <row r="67" spans="3:14" x14ac:dyDescent="0.2">
      <c r="C67" s="2">
        <f t="shared" si="0"/>
        <v>0</v>
      </c>
      <c r="D67" s="2">
        <f t="shared" si="1"/>
        <v>0</v>
      </c>
      <c r="E67" s="2">
        <f t="shared" si="2"/>
        <v>0</v>
      </c>
      <c r="N67" s="2">
        <f t="shared" si="3"/>
        <v>0</v>
      </c>
    </row>
    <row r="68" spans="3:14" x14ac:dyDescent="0.2">
      <c r="C68" s="2">
        <f t="shared" si="0"/>
        <v>0</v>
      </c>
      <c r="D68" s="2">
        <f t="shared" si="1"/>
        <v>0</v>
      </c>
      <c r="E68" s="2">
        <f t="shared" si="2"/>
        <v>0</v>
      </c>
      <c r="N68" s="2">
        <f t="shared" si="3"/>
        <v>0</v>
      </c>
    </row>
    <row r="69" spans="3:14" x14ac:dyDescent="0.2">
      <c r="C69" s="2">
        <f t="shared" si="0"/>
        <v>0</v>
      </c>
      <c r="D69" s="2">
        <f t="shared" si="1"/>
        <v>0</v>
      </c>
      <c r="E69" s="2">
        <f t="shared" si="2"/>
        <v>0</v>
      </c>
      <c r="N69" s="2">
        <f t="shared" si="3"/>
        <v>0</v>
      </c>
    </row>
    <row r="70" spans="3:14" x14ac:dyDescent="0.2">
      <c r="C70" s="2">
        <f t="shared" si="0"/>
        <v>0</v>
      </c>
      <c r="D70" s="2">
        <f t="shared" si="1"/>
        <v>0</v>
      </c>
      <c r="E70" s="2">
        <f t="shared" si="2"/>
        <v>0</v>
      </c>
      <c r="N70" s="2">
        <f t="shared" si="3"/>
        <v>0</v>
      </c>
    </row>
    <row r="71" spans="3:14" x14ac:dyDescent="0.2">
      <c r="C71" s="2">
        <f t="shared" ref="C71:C100" si="4">A71/0.0022046</f>
        <v>0</v>
      </c>
      <c r="D71" s="2">
        <f t="shared" ref="D71:D100" si="5">B71/35274</f>
        <v>0</v>
      </c>
      <c r="E71" s="2">
        <f t="shared" ref="E71:E100" si="6">C71+D71</f>
        <v>0</v>
      </c>
      <c r="N71" s="2">
        <f t="shared" ref="N71:N100" si="7">M71*1000</f>
        <v>0</v>
      </c>
    </row>
    <row r="72" spans="3:14" x14ac:dyDescent="0.2">
      <c r="C72" s="2">
        <f t="shared" si="4"/>
        <v>0</v>
      </c>
      <c r="D72" s="2">
        <f t="shared" si="5"/>
        <v>0</v>
      </c>
      <c r="E72" s="2">
        <f t="shared" si="6"/>
        <v>0</v>
      </c>
      <c r="N72" s="2">
        <f t="shared" si="7"/>
        <v>0</v>
      </c>
    </row>
    <row r="73" spans="3:14" x14ac:dyDescent="0.2">
      <c r="C73" s="2">
        <f t="shared" si="4"/>
        <v>0</v>
      </c>
      <c r="D73" s="2">
        <f t="shared" si="5"/>
        <v>0</v>
      </c>
      <c r="E73" s="2">
        <f t="shared" si="6"/>
        <v>0</v>
      </c>
      <c r="N73" s="2">
        <f t="shared" si="7"/>
        <v>0</v>
      </c>
    </row>
    <row r="74" spans="3:14" x14ac:dyDescent="0.2">
      <c r="C74" s="2">
        <f t="shared" si="4"/>
        <v>0</v>
      </c>
      <c r="D74" s="2">
        <f t="shared" si="5"/>
        <v>0</v>
      </c>
      <c r="E74" s="2">
        <f t="shared" si="6"/>
        <v>0</v>
      </c>
      <c r="N74" s="2">
        <f t="shared" si="7"/>
        <v>0</v>
      </c>
    </row>
    <row r="75" spans="3:14" x14ac:dyDescent="0.2">
      <c r="C75" s="2">
        <f t="shared" si="4"/>
        <v>0</v>
      </c>
      <c r="D75" s="2">
        <f t="shared" si="5"/>
        <v>0</v>
      </c>
      <c r="E75" s="2">
        <f t="shared" si="6"/>
        <v>0</v>
      </c>
      <c r="N75" s="2">
        <f t="shared" si="7"/>
        <v>0</v>
      </c>
    </row>
    <row r="76" spans="3:14" x14ac:dyDescent="0.2">
      <c r="C76" s="2">
        <f t="shared" si="4"/>
        <v>0</v>
      </c>
      <c r="D76" s="2">
        <f t="shared" si="5"/>
        <v>0</v>
      </c>
      <c r="E76" s="2">
        <f t="shared" si="6"/>
        <v>0</v>
      </c>
      <c r="N76" s="2">
        <f t="shared" si="7"/>
        <v>0</v>
      </c>
    </row>
    <row r="77" spans="3:14" x14ac:dyDescent="0.2">
      <c r="C77" s="2">
        <f t="shared" si="4"/>
        <v>0</v>
      </c>
      <c r="D77" s="2">
        <f t="shared" si="5"/>
        <v>0</v>
      </c>
      <c r="E77" s="2">
        <f t="shared" si="6"/>
        <v>0</v>
      </c>
      <c r="N77" s="2">
        <f t="shared" si="7"/>
        <v>0</v>
      </c>
    </row>
    <row r="78" spans="3:14" x14ac:dyDescent="0.2">
      <c r="C78" s="2">
        <f t="shared" si="4"/>
        <v>0</v>
      </c>
      <c r="D78" s="2">
        <f t="shared" si="5"/>
        <v>0</v>
      </c>
      <c r="E78" s="2">
        <f t="shared" si="6"/>
        <v>0</v>
      </c>
      <c r="N78" s="2">
        <f t="shared" si="7"/>
        <v>0</v>
      </c>
    </row>
    <row r="79" spans="3:14" x14ac:dyDescent="0.2">
      <c r="C79" s="2">
        <f t="shared" si="4"/>
        <v>0</v>
      </c>
      <c r="D79" s="2">
        <f t="shared" si="5"/>
        <v>0</v>
      </c>
      <c r="E79" s="2">
        <f t="shared" si="6"/>
        <v>0</v>
      </c>
      <c r="N79" s="2">
        <f t="shared" si="7"/>
        <v>0</v>
      </c>
    </row>
    <row r="80" spans="3:14" x14ac:dyDescent="0.2">
      <c r="C80" s="2">
        <f t="shared" si="4"/>
        <v>0</v>
      </c>
      <c r="D80" s="2">
        <f t="shared" si="5"/>
        <v>0</v>
      </c>
      <c r="E80" s="2">
        <f t="shared" si="6"/>
        <v>0</v>
      </c>
      <c r="N80" s="2">
        <f t="shared" si="7"/>
        <v>0</v>
      </c>
    </row>
    <row r="81" spans="3:14" x14ac:dyDescent="0.2">
      <c r="C81" s="2">
        <f t="shared" si="4"/>
        <v>0</v>
      </c>
      <c r="D81" s="2">
        <f t="shared" si="5"/>
        <v>0</v>
      </c>
      <c r="E81" s="2">
        <f t="shared" si="6"/>
        <v>0</v>
      </c>
      <c r="N81" s="2">
        <f t="shared" si="7"/>
        <v>0</v>
      </c>
    </row>
    <row r="82" spans="3:14" x14ac:dyDescent="0.2">
      <c r="C82" s="2">
        <f t="shared" si="4"/>
        <v>0</v>
      </c>
      <c r="D82" s="2">
        <f t="shared" si="5"/>
        <v>0</v>
      </c>
      <c r="E82" s="2">
        <f t="shared" si="6"/>
        <v>0</v>
      </c>
      <c r="N82" s="2">
        <f t="shared" si="7"/>
        <v>0</v>
      </c>
    </row>
    <row r="83" spans="3:14" x14ac:dyDescent="0.2">
      <c r="C83" s="2">
        <f t="shared" si="4"/>
        <v>0</v>
      </c>
      <c r="D83" s="2">
        <f t="shared" si="5"/>
        <v>0</v>
      </c>
      <c r="E83" s="2">
        <f t="shared" si="6"/>
        <v>0</v>
      </c>
      <c r="N83" s="2">
        <f t="shared" si="7"/>
        <v>0</v>
      </c>
    </row>
    <row r="84" spans="3:14" x14ac:dyDescent="0.2">
      <c r="C84" s="2">
        <f t="shared" si="4"/>
        <v>0</v>
      </c>
      <c r="D84" s="2">
        <f t="shared" si="5"/>
        <v>0</v>
      </c>
      <c r="E84" s="2">
        <f t="shared" si="6"/>
        <v>0</v>
      </c>
      <c r="N84" s="2">
        <f t="shared" si="7"/>
        <v>0</v>
      </c>
    </row>
    <row r="85" spans="3:14" x14ac:dyDescent="0.2">
      <c r="C85" s="2">
        <f t="shared" si="4"/>
        <v>0</v>
      </c>
      <c r="D85" s="2">
        <f t="shared" si="5"/>
        <v>0</v>
      </c>
      <c r="E85" s="2">
        <f t="shared" si="6"/>
        <v>0</v>
      </c>
      <c r="N85" s="2">
        <f t="shared" si="7"/>
        <v>0</v>
      </c>
    </row>
    <row r="86" spans="3:14" x14ac:dyDescent="0.2">
      <c r="C86" s="2">
        <f t="shared" si="4"/>
        <v>0</v>
      </c>
      <c r="D86" s="2">
        <f t="shared" si="5"/>
        <v>0</v>
      </c>
      <c r="E86" s="2">
        <f t="shared" si="6"/>
        <v>0</v>
      </c>
      <c r="N86" s="2">
        <f t="shared" si="7"/>
        <v>0</v>
      </c>
    </row>
    <row r="87" spans="3:14" x14ac:dyDescent="0.2">
      <c r="C87" s="2">
        <f t="shared" si="4"/>
        <v>0</v>
      </c>
      <c r="D87" s="2">
        <f t="shared" si="5"/>
        <v>0</v>
      </c>
      <c r="E87" s="2">
        <f t="shared" si="6"/>
        <v>0</v>
      </c>
      <c r="N87" s="2">
        <f t="shared" si="7"/>
        <v>0</v>
      </c>
    </row>
    <row r="88" spans="3:14" x14ac:dyDescent="0.2">
      <c r="C88" s="2">
        <f t="shared" si="4"/>
        <v>0</v>
      </c>
      <c r="D88" s="2">
        <f t="shared" si="5"/>
        <v>0</v>
      </c>
      <c r="E88" s="2">
        <f t="shared" si="6"/>
        <v>0</v>
      </c>
      <c r="N88" s="2">
        <f t="shared" si="7"/>
        <v>0</v>
      </c>
    </row>
    <row r="89" spans="3:14" x14ac:dyDescent="0.2">
      <c r="C89" s="2">
        <f t="shared" si="4"/>
        <v>0</v>
      </c>
      <c r="D89" s="2">
        <f t="shared" si="5"/>
        <v>0</v>
      </c>
      <c r="E89" s="2">
        <f t="shared" si="6"/>
        <v>0</v>
      </c>
      <c r="N89" s="2">
        <f t="shared" si="7"/>
        <v>0</v>
      </c>
    </row>
    <row r="90" spans="3:14" x14ac:dyDescent="0.2">
      <c r="C90" s="2">
        <f t="shared" si="4"/>
        <v>0</v>
      </c>
      <c r="D90" s="2">
        <f t="shared" si="5"/>
        <v>0</v>
      </c>
      <c r="E90" s="2">
        <f t="shared" si="6"/>
        <v>0</v>
      </c>
      <c r="N90" s="2">
        <f t="shared" si="7"/>
        <v>0</v>
      </c>
    </row>
    <row r="91" spans="3:14" x14ac:dyDescent="0.2">
      <c r="C91" s="2">
        <f t="shared" si="4"/>
        <v>0</v>
      </c>
      <c r="D91" s="2">
        <f t="shared" si="5"/>
        <v>0</v>
      </c>
      <c r="E91" s="2">
        <f t="shared" si="6"/>
        <v>0</v>
      </c>
      <c r="N91" s="2">
        <f t="shared" si="7"/>
        <v>0</v>
      </c>
    </row>
    <row r="92" spans="3:14" x14ac:dyDescent="0.2">
      <c r="C92" s="2">
        <f t="shared" si="4"/>
        <v>0</v>
      </c>
      <c r="D92" s="2">
        <f t="shared" si="5"/>
        <v>0</v>
      </c>
      <c r="E92" s="2">
        <f t="shared" si="6"/>
        <v>0</v>
      </c>
      <c r="N92" s="2">
        <f t="shared" si="7"/>
        <v>0</v>
      </c>
    </row>
    <row r="93" spans="3:14" x14ac:dyDescent="0.2">
      <c r="C93" s="2">
        <f t="shared" si="4"/>
        <v>0</v>
      </c>
      <c r="D93" s="2">
        <f t="shared" si="5"/>
        <v>0</v>
      </c>
      <c r="E93" s="2">
        <f t="shared" si="6"/>
        <v>0</v>
      </c>
      <c r="N93" s="2">
        <f t="shared" si="7"/>
        <v>0</v>
      </c>
    </row>
    <row r="94" spans="3:14" x14ac:dyDescent="0.2">
      <c r="C94" s="2">
        <f t="shared" si="4"/>
        <v>0</v>
      </c>
      <c r="D94" s="2">
        <f t="shared" si="5"/>
        <v>0</v>
      </c>
      <c r="E94" s="2">
        <f t="shared" si="6"/>
        <v>0</v>
      </c>
      <c r="N94" s="2">
        <f t="shared" si="7"/>
        <v>0</v>
      </c>
    </row>
    <row r="95" spans="3:14" x14ac:dyDescent="0.2">
      <c r="C95" s="2">
        <f t="shared" si="4"/>
        <v>0</v>
      </c>
      <c r="D95" s="2">
        <f t="shared" si="5"/>
        <v>0</v>
      </c>
      <c r="E95" s="2">
        <f t="shared" si="6"/>
        <v>0</v>
      </c>
      <c r="N95" s="2">
        <f t="shared" si="7"/>
        <v>0</v>
      </c>
    </row>
    <row r="96" spans="3:14" x14ac:dyDescent="0.2">
      <c r="C96" s="2">
        <f t="shared" si="4"/>
        <v>0</v>
      </c>
      <c r="D96" s="2">
        <f t="shared" si="5"/>
        <v>0</v>
      </c>
      <c r="E96" s="2">
        <f t="shared" si="6"/>
        <v>0</v>
      </c>
      <c r="N96" s="2">
        <f t="shared" si="7"/>
        <v>0</v>
      </c>
    </row>
    <row r="97" spans="3:14" x14ac:dyDescent="0.2">
      <c r="C97" s="2">
        <f t="shared" si="4"/>
        <v>0</v>
      </c>
      <c r="D97" s="2">
        <f t="shared" si="5"/>
        <v>0</v>
      </c>
      <c r="E97" s="2">
        <f t="shared" si="6"/>
        <v>0</v>
      </c>
      <c r="N97" s="2">
        <f t="shared" si="7"/>
        <v>0</v>
      </c>
    </row>
    <row r="98" spans="3:14" x14ac:dyDescent="0.2">
      <c r="C98" s="2">
        <f t="shared" si="4"/>
        <v>0</v>
      </c>
      <c r="D98" s="2">
        <f t="shared" si="5"/>
        <v>0</v>
      </c>
      <c r="E98" s="2">
        <f t="shared" si="6"/>
        <v>0</v>
      </c>
      <c r="N98" s="2">
        <f t="shared" si="7"/>
        <v>0</v>
      </c>
    </row>
    <row r="99" spans="3:14" x14ac:dyDescent="0.2">
      <c r="C99" s="2">
        <f t="shared" si="4"/>
        <v>0</v>
      </c>
      <c r="D99" s="2">
        <f t="shared" si="5"/>
        <v>0</v>
      </c>
      <c r="E99" s="2">
        <f t="shared" si="6"/>
        <v>0</v>
      </c>
      <c r="N99" s="2">
        <f t="shared" si="7"/>
        <v>0</v>
      </c>
    </row>
    <row r="100" spans="3:14" x14ac:dyDescent="0.2">
      <c r="C100" s="2">
        <f t="shared" si="4"/>
        <v>0</v>
      </c>
      <c r="D100" s="2">
        <f t="shared" si="5"/>
        <v>0</v>
      </c>
      <c r="E100" s="2">
        <f t="shared" si="6"/>
        <v>0</v>
      </c>
      <c r="N100" s="2">
        <f t="shared" si="7"/>
        <v>0</v>
      </c>
    </row>
  </sheetData>
  <mergeCells count="2">
    <mergeCell ref="A2:J4"/>
    <mergeCell ref="M2:V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 Entry</vt:lpstr>
      <vt:lpstr>Species 1 - Size at maturity</vt:lpstr>
      <vt:lpstr>Species 1-Data Entry</vt:lpstr>
      <vt:lpstr>Species 1-Spawning Season</vt:lpstr>
      <vt:lpstr>Species 1-Anahulu</vt:lpstr>
      <vt:lpstr>Convert fish weight to grams</vt:lpstr>
    </vt:vector>
  </TitlesOfParts>
  <Company>Conservation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 Schemmel</dc:creator>
  <cp:lastModifiedBy>Eva Schemmel</cp:lastModifiedBy>
  <dcterms:created xsi:type="dcterms:W3CDTF">2016-03-07T20:17:43Z</dcterms:created>
  <dcterms:modified xsi:type="dcterms:W3CDTF">2016-08-30T01:23:26Z</dcterms:modified>
</cp:coreProperties>
</file>